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activeX/activeX1.xml" ContentType="application/vnd.ms-office.activeX+xml"/>
  <Override PartName="/xl/activeX/activeX1.bin" ContentType="application/vnd.ms-office.activeX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1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rsahli\Desktop\254\"/>
    </mc:Choice>
  </mc:AlternateContent>
  <xr:revisionPtr revIDLastSave="0" documentId="13_ncr:1_{FB3D56EC-427A-41A0-AE82-41297534C89E}" xr6:coauthVersionLast="47" xr6:coauthVersionMax="47" xr10:uidLastSave="{00000000-0000-0000-0000-000000000000}"/>
  <bookViews>
    <workbookView xWindow="-120" yWindow="-120" windowWidth="29040" windowHeight="16440" firstSheet="5" activeTab="5" xr2:uid="{00000000-000D-0000-FFFF-FFFF00000000}"/>
  </bookViews>
  <sheets>
    <sheet name="Metadonnees" sheetId="9" state="hidden" r:id="rId1"/>
    <sheet name="Questionnaire" sheetId="8" r:id="rId2"/>
    <sheet name="Objectifs" sheetId="3" r:id="rId3"/>
    <sheet name="Activités" sheetId="4" r:id="rId4"/>
    <sheet name="Animation" sheetId="5" r:id="rId5"/>
    <sheet name="Evaluation" sheetId="6" r:id="rId6"/>
    <sheet name="Journal" sheetId="2" r:id="rId7"/>
  </sheets>
  <definedNames>
    <definedName name="_xlnm._FilterDatabase" localSheetId="1" hidden="1">#REF!</definedName>
    <definedName name="ANNEES">Metadonnees!$D$2:$D$8</definedName>
    <definedName name="CLASSES">Metadonnees!$B$2:$B$22</definedName>
    <definedName name="MODULES">Metadonnees!$A$2:$A$60</definedName>
    <definedName name="_xlnm.Print_Area" localSheetId="1">Questionnaire!$A$1:$J$49</definedName>
    <definedName name="PROFS">Metadonnees!$C$2:$C$25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6" l="1"/>
  <c r="A1" i="5"/>
  <c r="A38" i="4"/>
  <c r="A1" i="4"/>
  <c r="A1" i="3"/>
</calcChain>
</file>

<file path=xl/sharedStrings.xml><?xml version="1.0" encoding="utf-8"?>
<sst xmlns="http://schemas.openxmlformats.org/spreadsheetml/2006/main" count="221" uniqueCount="188">
  <si>
    <t>MODULES</t>
  </si>
  <si>
    <t>CLASSES</t>
  </si>
  <si>
    <t>ENSEIGNANTS</t>
  </si>
  <si>
    <t>ANNEE</t>
  </si>
  <si>
    <t>BD-MSIG</t>
  </si>
  <si>
    <t>Grp1A</t>
  </si>
  <si>
    <t>Bourahla Karim</t>
  </si>
  <si>
    <t>2023-2024</t>
  </si>
  <si>
    <t>PROG-MSIG</t>
  </si>
  <si>
    <t>Grp1B</t>
  </si>
  <si>
    <t>Carrel Xavier</t>
  </si>
  <si>
    <t>2024-2025</t>
  </si>
  <si>
    <t>SYS-MSIG</t>
  </si>
  <si>
    <t>Grp1C</t>
  </si>
  <si>
    <t>Charmier Grégory</t>
  </si>
  <si>
    <t>2025-2026</t>
  </si>
  <si>
    <t>Projets</t>
  </si>
  <si>
    <t>Grp1D</t>
  </si>
  <si>
    <t>Chenaux Patrick</t>
  </si>
  <si>
    <t>2026-2027</t>
  </si>
  <si>
    <t>FIN1</t>
  </si>
  <si>
    <t>Costa Lopes Helder</t>
  </si>
  <si>
    <t>2027-2028</t>
  </si>
  <si>
    <t>Grp2A</t>
  </si>
  <si>
    <t>Curchod Aurelie</t>
  </si>
  <si>
    <t>2028-2029</t>
  </si>
  <si>
    <t>Grp2B</t>
  </si>
  <si>
    <t>Delgado Michel</t>
  </si>
  <si>
    <t>2029-2030</t>
  </si>
  <si>
    <t>Grp2C</t>
  </si>
  <si>
    <t>Deschamps Laurent</t>
  </si>
  <si>
    <t>Grp2D</t>
  </si>
  <si>
    <t>Duding Laurent</t>
  </si>
  <si>
    <t>FIN2</t>
  </si>
  <si>
    <t>Ferrari Roberto</t>
  </si>
  <si>
    <t>Grp3A</t>
  </si>
  <si>
    <t>Garraux Alain-Philippe</t>
  </si>
  <si>
    <t>Grp3B</t>
  </si>
  <si>
    <t>Girardet Alain</t>
  </si>
  <si>
    <t>Grp3C</t>
  </si>
  <si>
    <t>Gruaz Gilbert</t>
  </si>
  <si>
    <t>Grp3D</t>
  </si>
  <si>
    <t>Lymberis Dimitrios</t>
  </si>
  <si>
    <t>Grp4A</t>
  </si>
  <si>
    <t>Melly Jonathan</t>
  </si>
  <si>
    <t>Grp4B</t>
  </si>
  <si>
    <t>Meylan Mathieu</t>
  </si>
  <si>
    <t>Grp4C</t>
  </si>
  <si>
    <t>Mveng Antoine</t>
  </si>
  <si>
    <t>Grp4D</t>
  </si>
  <si>
    <t>Oliveira Sheyla</t>
  </si>
  <si>
    <t>MSIG</t>
  </si>
  <si>
    <t>Ollivier Patrick</t>
  </si>
  <si>
    <t>Techni</t>
  </si>
  <si>
    <t>Sahli Bertrand</t>
  </si>
  <si>
    <t>Schaffter Cédric</t>
  </si>
  <si>
    <t>Sokoloff Cyril</t>
  </si>
  <si>
    <t>Sonney Gaël</t>
  </si>
  <si>
    <t>Stucki Isabelle</t>
  </si>
  <si>
    <t>Module:</t>
  </si>
  <si>
    <t>Classe :</t>
  </si>
  <si>
    <t xml:space="preserve">Enseignant :  </t>
  </si>
  <si>
    <t>Année :</t>
  </si>
  <si>
    <t>Remarques générales sur ce questionnaire :</t>
  </si>
  <si>
    <t>° Pour répondre aux questions fermées, cliquez sur les boutons radio.
° Validez vos réponses aux remarques en pressant la touche "Enter".
° Le présent questionnaire est anonyme.
° Il vise à vérifier la pertinence de l'enseignement donné dans le cadre de la formation que vous venez de suivre. 
° La formation, selon le contexte, peut aussi bien être un module (ICH), un projet d'applications ou un cours ponctuel. 
° Vos informations permettront ainsi d'améliorer la qualité des enseignements futurs. 
° Ceci est un outil précieux pour chaque enseignant qui anime ou prépare une telle formation.</t>
  </si>
  <si>
    <t>1. Questions sur les compétences et les objectifs visés, ainsi que sur les contenus</t>
  </si>
  <si>
    <t>1.1 Les compétences et les objectifs visés ont été déclarés</t>
  </si>
  <si>
    <t>clairement</t>
  </si>
  <si>
    <t>partiellement</t>
  </si>
  <si>
    <t>pas clairement</t>
  </si>
  <si>
    <t>pas du tout</t>
  </si>
  <si>
    <t>1.2 Pour ma profession, l'acquisition de ces compétences m'a semblé</t>
  </si>
  <si>
    <t>indispensable</t>
  </si>
  <si>
    <t>utile</t>
  </si>
  <si>
    <t>peut-être utile</t>
  </si>
  <si>
    <t>sans aucune utilité</t>
  </si>
  <si>
    <t>1.3 Pour ma profession, les contenus travaillés m'ont semblé</t>
  </si>
  <si>
    <t>très actuels</t>
  </si>
  <si>
    <t>actuels</t>
  </si>
  <si>
    <t>un peu dépassés</t>
  </si>
  <si>
    <t>tout à fait dépassés</t>
  </si>
  <si>
    <t>1.4 Pour suivre cette formation, mon niveau de compétences et de connaissances au départ étaient</t>
  </si>
  <si>
    <t>tout à fait adaptés</t>
  </si>
  <si>
    <t>suffisants</t>
  </si>
  <si>
    <t>trop hauts</t>
  </si>
  <si>
    <t>trop bas</t>
  </si>
  <si>
    <t>Remarques sur les objectifs du module</t>
  </si>
  <si>
    <t>2. Questions sur les activités proposées et les supports fournis</t>
  </si>
  <si>
    <t>2.1 Le style des activités proposées m'a convenu</t>
  </si>
  <si>
    <t>parfaitement</t>
  </si>
  <si>
    <t>suffisamment</t>
  </si>
  <si>
    <t>moyennement</t>
  </si>
  <si>
    <t>2.2 La diversité des activités a été</t>
  </si>
  <si>
    <t>nombreuse et variée</t>
  </si>
  <si>
    <t>correcte</t>
  </si>
  <si>
    <t>faible</t>
  </si>
  <si>
    <t>trop faible</t>
  </si>
  <si>
    <t>2.3 La progression de la difficulté dans le temps était</t>
  </si>
  <si>
    <t>très bonne</t>
  </si>
  <si>
    <t>bonne</t>
  </si>
  <si>
    <t>moyenne</t>
  </si>
  <si>
    <t>inadaptée</t>
  </si>
  <si>
    <t>2.4 Le rapport entre les parties de théories et celles de pratiques était</t>
  </si>
  <si>
    <t>parfait</t>
  </si>
  <si>
    <t>bon</t>
  </si>
  <si>
    <t>trop de pratique</t>
  </si>
  <si>
    <t>trop de théorie</t>
  </si>
  <si>
    <t>2.5 Pour toutes les activités, le matériel et les programmes mis à disposition étaient</t>
  </si>
  <si>
    <t>luxueux</t>
  </si>
  <si>
    <t>adaptés</t>
  </si>
  <si>
    <t xml:space="preserve">juste suffisant </t>
  </si>
  <si>
    <t>inadaptés</t>
  </si>
  <si>
    <t>2.6 Pour l'acquisition des compétences, les supports de cours distribués (ou construits) étaient</t>
  </si>
  <si>
    <t>très utiles</t>
  </si>
  <si>
    <t>utiles</t>
  </si>
  <si>
    <t>moyennement utiles</t>
  </si>
  <si>
    <t xml:space="preserve">Remarques sur les activités proposées </t>
  </si>
  <si>
    <t>3. Questions sur l'animation du cours</t>
  </si>
  <si>
    <t>3.1 Les questions et les besoins des élèves ont été pris en compte avec respect</t>
  </si>
  <si>
    <t>toujours</t>
  </si>
  <si>
    <t>généralement</t>
  </si>
  <si>
    <t>rarement</t>
  </si>
  <si>
    <t>3.2 Dans la matière enseignée, le formateur maîtrisait son sujet</t>
  </si>
  <si>
    <t>assez</t>
  </si>
  <si>
    <t>a des lacunes</t>
  </si>
  <si>
    <t>faible maîtrise</t>
  </si>
  <si>
    <t>3.3 Le formateur était enthousiaste et intéressant.</t>
  </si>
  <si>
    <t>beaucoup</t>
  </si>
  <si>
    <t>correct</t>
  </si>
  <si>
    <t>un peu</t>
  </si>
  <si>
    <t>ennuyeux</t>
  </si>
  <si>
    <t>3.4 Le formateur s'exprimait clairement et se faisait comprendre</t>
  </si>
  <si>
    <t>peu compréhensible</t>
  </si>
  <si>
    <t>incompréhensible</t>
  </si>
  <si>
    <t>Remarques sur l'animation du cours</t>
  </si>
  <si>
    <t>4. Questions sur l'évaluation</t>
  </si>
  <si>
    <t>4.1 Pour réussir cette formation, les activités ont été</t>
  </si>
  <si>
    <t>efficaces</t>
  </si>
  <si>
    <t>correctes</t>
  </si>
  <si>
    <t>peu adaptées</t>
  </si>
  <si>
    <t>inadaptées</t>
  </si>
  <si>
    <t>4.2 Pour réussir cette formation, le nombre et le style des tests formatifs et/ou des révisions proposés ont été</t>
  </si>
  <si>
    <t>très appropriés</t>
  </si>
  <si>
    <t>adéquats</t>
  </si>
  <si>
    <t>peu adaptés</t>
  </si>
  <si>
    <t>inadéquats</t>
  </si>
  <si>
    <t xml:space="preserve">4.3 Pour vérifier les compétences et les objectifs, les épreuves étaient </t>
  </si>
  <si>
    <t>parfaites</t>
  </si>
  <si>
    <t>peu pertinentes</t>
  </si>
  <si>
    <t>Remarques sur l'évaluation</t>
  </si>
  <si>
    <t>Remarques :</t>
  </si>
  <si>
    <t xml:space="preserve">Tout parfait vous êtes un super prof ! </t>
  </si>
  <si>
    <t>Garder la même énergie, la même facon d'enseigner, les mêmes exercices. Super professeur :)</t>
  </si>
  <si>
    <t>Bien</t>
  </si>
  <si>
    <t xml:space="preserve">Excellente </t>
  </si>
  <si>
    <t>l'enseignant c'est très bien défendre ses arguments (mais certain sont faux)</t>
  </si>
  <si>
    <t>Bienn</t>
  </si>
  <si>
    <t>Répertoire de travail :</t>
  </si>
  <si>
    <t>C:\Users\bersahli\Desktop\254</t>
  </si>
  <si>
    <t>Fichier 1 ouvert :</t>
  </si>
  <si>
    <t>Eval254 - OnePiece.xlsx</t>
  </si>
  <si>
    <t>Le rapatriement s'est bien passé</t>
  </si>
  <si>
    <t>Fichier 2 ouvert :</t>
  </si>
  <si>
    <t>Eval254-diskOeil.xlsx</t>
  </si>
  <si>
    <t>Fichier 3 ouvert :</t>
  </si>
  <si>
    <t>Eval254-Model - Julien.xlsx</t>
  </si>
  <si>
    <t>Fichier 4 ouvert :</t>
  </si>
  <si>
    <t>Eval254-Modele - Copie (2).xlsx</t>
  </si>
  <si>
    <t>Fichier 5 ouvert :</t>
  </si>
  <si>
    <t>Eval254-Modele - Copie.xlsx</t>
  </si>
  <si>
    <t>Fichier 6 ouvert :</t>
  </si>
  <si>
    <t>Eval254-Modele - Evin.xlsx</t>
  </si>
  <si>
    <t>Fichier 7 ouvert :</t>
  </si>
  <si>
    <t>Eval254-Modele - mathis.xlsx</t>
  </si>
  <si>
    <t>Fichier 8 ouvert :</t>
  </si>
  <si>
    <t>Eval254-Modele - Personne - 1.xlsx</t>
  </si>
  <si>
    <t>Fichier 9 ouvert :</t>
  </si>
  <si>
    <t>Eval254-Modele - UnGarsInconnuAuBataillon.xlsx</t>
  </si>
  <si>
    <t>Fichier 10 ouvert :</t>
  </si>
  <si>
    <t>Eval254-Modele-Joachim.xlsx</t>
  </si>
  <si>
    <t>Fichier 11 ouvert :</t>
  </si>
  <si>
    <t>Eval254-Modele-Lucas-L.xlsx</t>
  </si>
  <si>
    <t>Fichier 12 ouvert :</t>
  </si>
  <si>
    <t>Eval254-Modele1.xlsx</t>
  </si>
  <si>
    <t>Fichier 13 ouvert :</t>
  </si>
  <si>
    <t>Eval254-Modele_XXX.xlsx</t>
  </si>
  <si>
    <t>Fichier 14 ouvert :</t>
  </si>
  <si>
    <t>Eval254-Philippe.xlsx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</si>
</sst>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0"/>
      <color indexed="11"/>
      <name val="Arial"/>
      <family val="2"/>
    </font>
    <font>
      <b/>
      <sz val="10"/>
      <color indexed="59"/>
      <name val="Arial"/>
      <family val="2"/>
    </font>
    <font>
      <i/>
      <sz val="10"/>
      <name val="Arial"/>
      <family val="2"/>
    </font>
    <font>
      <sz val="20"/>
      <color rgb="FFFFFF00"/>
      <name val="Arial"/>
      <family val="2"/>
    </font>
    <font>
      <sz val="1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1">
    <xf numFmtId="0" fontId="0" fillId="0" borderId="0" xfId="0"/>
    <xf numFmtId="0" fontId="3" fillId="0" borderId="0" xfId="0" applyFont="1"/>
    <xf numFmtId="0" fontId="2" fillId="0" borderId="0" xfId="0" applyFont="1"/>
    <xf numFmtId="0" fontId="5" fillId="0" borderId="0" xfId="0" applyFont="1"/>
    <xf numFmtId="0" fontId="1" fillId="2" borderId="7" xfId="1" applyFill="1" applyBorder="1" applyAlignment="1">
      <alignment horizontal="right" vertical="center"/>
    </xf>
    <xf numFmtId="0" fontId="6" fillId="3" borderId="8" xfId="1" applyFont="1" applyFill="1" applyBorder="1" applyAlignment="1" applyProtection="1">
      <alignment horizontal="center" vertical="center"/>
      <protection locked="0"/>
    </xf>
    <xf numFmtId="0" fontId="1" fillId="2" borderId="9" xfId="1" applyFill="1" applyBorder="1" applyAlignment="1">
      <alignment horizontal="right" vertical="center"/>
    </xf>
    <xf numFmtId="14" fontId="3" fillId="3" borderId="8" xfId="1" applyNumberFormat="1" applyFont="1" applyFill="1" applyBorder="1" applyAlignment="1" applyProtection="1">
      <alignment horizontal="center" vertical="center"/>
      <protection locked="0"/>
    </xf>
    <xf numFmtId="0" fontId="1" fillId="2" borderId="9" xfId="1" applyFill="1" applyBorder="1" applyAlignment="1">
      <alignment vertical="center"/>
    </xf>
    <xf numFmtId="0" fontId="1" fillId="2" borderId="9" xfId="1" applyFill="1" applyBorder="1" applyAlignment="1">
      <alignment horizontal="center" vertical="center"/>
    </xf>
    <xf numFmtId="0" fontId="3" fillId="3" borderId="8" xfId="1" applyFont="1" applyFill="1" applyBorder="1" applyAlignment="1" applyProtection="1">
      <alignment horizontal="center" vertical="center"/>
      <protection locked="0"/>
    </xf>
    <xf numFmtId="0" fontId="3" fillId="3" borderId="10" xfId="1" applyFont="1" applyFill="1" applyBorder="1" applyAlignment="1" applyProtection="1">
      <alignment horizontal="center" vertical="center"/>
      <protection locked="0"/>
    </xf>
    <xf numFmtId="0" fontId="1" fillId="0" borderId="0" xfId="1"/>
    <xf numFmtId="0" fontId="7" fillId="2" borderId="11" xfId="1" applyFont="1" applyFill="1" applyBorder="1" applyAlignment="1">
      <alignment horizontal="left" vertical="center" indent="24"/>
    </xf>
    <xf numFmtId="0" fontId="3" fillId="2" borderId="0" xfId="1" applyFont="1" applyFill="1" applyAlignment="1">
      <alignment vertical="center"/>
    </xf>
    <xf numFmtId="0" fontId="1" fillId="2" borderId="0" xfId="1" applyFill="1"/>
    <xf numFmtId="0" fontId="1" fillId="2" borderId="12" xfId="1" applyFill="1" applyBorder="1"/>
    <xf numFmtId="0" fontId="3" fillId="2" borderId="13" xfId="1" applyFont="1" applyFill="1" applyBorder="1" applyAlignment="1">
      <alignment vertical="center"/>
    </xf>
    <xf numFmtId="0" fontId="1" fillId="2" borderId="1" xfId="1" applyFill="1" applyBorder="1"/>
    <xf numFmtId="0" fontId="1" fillId="2" borderId="14" xfId="1" applyFill="1" applyBorder="1"/>
    <xf numFmtId="0" fontId="1" fillId="4" borderId="4" xfId="1" applyFill="1" applyBorder="1" applyAlignment="1">
      <alignment horizontal="center" vertical="center" wrapText="1"/>
    </xf>
    <xf numFmtId="0" fontId="1" fillId="5" borderId="4" xfId="1" applyFill="1" applyBorder="1" applyAlignment="1">
      <alignment horizontal="center" vertical="center" wrapText="1"/>
    </xf>
    <xf numFmtId="0" fontId="1" fillId="6" borderId="4" xfId="1" applyFill="1" applyBorder="1" applyAlignment="1">
      <alignment horizontal="center" vertical="center" wrapText="1"/>
    </xf>
    <xf numFmtId="0" fontId="1" fillId="7" borderId="18" xfId="1" applyFill="1" applyBorder="1" applyAlignment="1">
      <alignment horizontal="center" vertical="center" wrapText="1"/>
    </xf>
    <xf numFmtId="0" fontId="1" fillId="8" borderId="4" xfId="1" applyFill="1" applyBorder="1" applyAlignment="1" applyProtection="1">
      <alignment horizontal="center" vertical="center" wrapText="1"/>
      <protection locked="0"/>
    </xf>
    <xf numFmtId="0" fontId="1" fillId="8" borderId="18" xfId="1" applyFill="1" applyBorder="1" applyAlignment="1" applyProtection="1">
      <alignment horizontal="center" vertical="center" wrapText="1"/>
      <protection locked="0"/>
    </xf>
    <xf numFmtId="0" fontId="3" fillId="2" borderId="22" xfId="1" applyFont="1" applyFill="1" applyBorder="1" applyAlignment="1">
      <alignment vertical="center"/>
    </xf>
    <xf numFmtId="0" fontId="1" fillId="2" borderId="3" xfId="1" applyFill="1" applyBorder="1"/>
    <xf numFmtId="0" fontId="1" fillId="2" borderId="5" xfId="1" applyFill="1" applyBorder="1"/>
    <xf numFmtId="0" fontId="3" fillId="2" borderId="24" xfId="1" applyFont="1" applyFill="1" applyBorder="1" applyAlignment="1">
      <alignment vertical="center"/>
    </xf>
    <xf numFmtId="0" fontId="1" fillId="2" borderId="25" xfId="1" applyFill="1" applyBorder="1"/>
    <xf numFmtId="0" fontId="1" fillId="2" borderId="26" xfId="1" applyFill="1" applyBorder="1"/>
    <xf numFmtId="0" fontId="8" fillId="9" borderId="4" xfId="1" applyFont="1" applyFill="1" applyBorder="1" applyAlignment="1">
      <alignment horizontal="center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9" fillId="10" borderId="4" xfId="0" applyFont="1" applyFill="1" applyBorder="1"/>
    <xf numFmtId="0" fontId="9" fillId="11" borderId="4" xfId="0" applyFont="1" applyFill="1" applyBorder="1"/>
    <xf numFmtId="0" fontId="9" fillId="0" borderId="4" xfId="0" applyFont="1" applyBorder="1"/>
    <xf numFmtId="0" fontId="9" fillId="10" borderId="4" xfId="0" applyFont="1" applyFill="1" applyBorder="1" applyAlignment="1">
      <alignment horizontal="right"/>
    </xf>
    <xf numFmtId="0" fontId="1" fillId="2" borderId="13" xfId="1" applyFill="1" applyBorder="1" applyAlignment="1">
      <alignment horizontal="right" vertical="center" wrapText="1" indent="2"/>
    </xf>
    <xf numFmtId="0" fontId="1" fillId="2" borderId="1" xfId="1" applyFill="1" applyBorder="1" applyAlignment="1">
      <alignment horizontal="right" vertical="center" wrapText="1" indent="2"/>
    </xf>
    <xf numFmtId="0" fontId="1" fillId="2" borderId="2" xfId="1" applyFill="1" applyBorder="1" applyAlignment="1">
      <alignment horizontal="right" vertical="center" wrapText="1" indent="2"/>
    </xf>
    <xf numFmtId="0" fontId="1" fillId="2" borderId="19" xfId="1" applyFill="1" applyBorder="1" applyAlignment="1">
      <alignment horizontal="right" vertical="center" wrapText="1" indent="2"/>
    </xf>
    <xf numFmtId="0" fontId="1" fillId="2" borderId="20" xfId="1" applyFill="1" applyBorder="1" applyAlignment="1">
      <alignment horizontal="right" vertical="center" wrapText="1" indent="2"/>
    </xf>
    <xf numFmtId="0" fontId="1" fillId="2" borderId="21" xfId="1" applyFill="1" applyBorder="1" applyAlignment="1">
      <alignment horizontal="right" vertical="center" wrapText="1" indent="2"/>
    </xf>
    <xf numFmtId="0" fontId="3" fillId="2" borderId="13" xfId="1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14" xfId="1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left" vertical="center" wrapText="1"/>
    </xf>
    <xf numFmtId="0" fontId="4" fillId="2" borderId="16" xfId="0" applyFont="1" applyFill="1" applyBorder="1" applyAlignment="1">
      <alignment horizontal="left" vertical="center" wrapText="1"/>
    </xf>
    <xf numFmtId="0" fontId="4" fillId="2" borderId="17" xfId="0" applyFont="1" applyFill="1" applyBorder="1" applyAlignment="1">
      <alignment horizontal="left" vertical="center" wrapText="1"/>
    </xf>
    <xf numFmtId="0" fontId="1" fillId="8" borderId="6" xfId="1" applyFill="1" applyBorder="1" applyAlignment="1" applyProtection="1">
      <alignment horizontal="left" vertical="top"/>
      <protection locked="0"/>
    </xf>
    <xf numFmtId="0" fontId="1" fillId="8" borderId="3" xfId="1" applyFill="1" applyBorder="1" applyAlignment="1" applyProtection="1">
      <alignment horizontal="left" vertical="top"/>
      <protection locked="0"/>
    </xf>
    <xf numFmtId="0" fontId="1" fillId="8" borderId="23" xfId="1" applyFill="1" applyBorder="1" applyAlignment="1" applyProtection="1">
      <alignment horizontal="left" vertical="top"/>
      <protection locked="0"/>
    </xf>
    <xf numFmtId="0" fontId="1" fillId="0" borderId="22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/>
    </xf>
    <xf numFmtId="0" fontId="1" fillId="0" borderId="23" xfId="1" applyBorder="1" applyAlignment="1">
      <alignment horizontal="left" vertical="top" wrapText="1"/>
    </xf>
    <xf numFmtId="0" fontId="1" fillId="8" borderId="27" xfId="1" applyFill="1" applyBorder="1" applyAlignment="1" applyProtection="1">
      <alignment horizontal="left" vertical="top"/>
      <protection locked="0"/>
    </xf>
    <xf numFmtId="0" fontId="1" fillId="8" borderId="25" xfId="1" applyFill="1" applyBorder="1" applyAlignment="1" applyProtection="1">
      <alignment horizontal="left" vertical="top"/>
      <protection locked="0"/>
    </xf>
    <xf numFmtId="0" fontId="1" fillId="8" borderId="28" xfId="1" applyFill="1" applyBorder="1" applyAlignment="1" applyProtection="1">
      <alignment horizontal="left" vertical="top"/>
      <protection locked="0"/>
    </xf>
    <xf numFmtId="0" fontId="1" fillId="0" borderId="0" xfId="0" applyFont="1"/>
  </cellXfs>
  <cellStyles count="2">
    <cellStyle name="Normal" xfId="0" builtinId="0"/>
    <cellStyle name="Normal 2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7948717948718074"/>
          <c:y val="3.9513677811550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5811976584191632"/>
          <c:y val="0.38297872340425987"/>
          <c:w val="0.48547028807353781"/>
          <c:h val="0.34650455927051682"/>
        </c:manualLayout>
      </c:layout>
      <c:pie3DChart>
        <c:varyColors val="1"/>
        <c:ser>
          <c:idx val="0"/>
          <c:order val="0"/>
          <c:tx>
            <c:strRef>
              <c:f>Questionnaire!$A$6</c:f>
              <c:strCache>
                <c:ptCount val="1"/>
                <c:pt idx="0">
                  <c:v>1.1 Les compétences et les objectifs visés ont été déclarés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788-4540-9B6B-0FE51CD74008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788-4540-9B6B-0FE51CD74008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A788-4540-9B6B-0FE51CD74008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(Questionnaire!$G$6,Questionnaire!$H$6,Questionnaire!$I$6,Questionnaire!$J$6)</c:f>
              <c:strCache>
                <c:ptCount val="4"/>
                <c:pt idx="0">
                  <c:v>clairement</c:v>
                </c:pt>
                <c:pt idx="1">
                  <c:v>partiellement</c:v>
                </c:pt>
                <c:pt idx="2">
                  <c:v>pas clairement</c:v>
                </c:pt>
                <c:pt idx="3">
                  <c:v>pas du tout</c:v>
                </c:pt>
              </c:strCache>
            </c:strRef>
          </c:cat>
          <c:val>
            <c:numRef>
              <c:f>(Questionnaire!$G$7,Questionnaire!$H$7,Questionnaire!$I$7,Questionnaire!$J$7)</c:f>
              <c:numCache>
                <c:formatCode>General</c:formatCode>
                <c:ptCount val="4"/>
                <c:pt idx="0">
                  <c:v>12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788-4540-9B6B-0FE51CD74008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56" footer="0.49212598450000156"/>
    <c:pageSetup paperSize="9" orientation="landscape" horizontalDpi="-3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00002262648204"/>
          <c:y val="3.9513677811550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30172458245051481"/>
          <c:y val="0.44376899696048638"/>
          <c:w val="0.39827644883468238"/>
          <c:h val="0.2796352583586626"/>
        </c:manualLayout>
      </c:layout>
      <c:pie3DChart>
        <c:varyColors val="1"/>
        <c:ser>
          <c:idx val="0"/>
          <c:order val="0"/>
          <c:tx>
            <c:strRef>
              <c:f>Questionnaire!$A$10</c:f>
              <c:strCache>
                <c:ptCount val="1"/>
                <c:pt idx="0">
                  <c:v>1.3 Pour ma profession, les contenus travaillés m'ont semblé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236-4514-AE1A-454E86F4B781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236-4514-AE1A-454E86F4B781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236-4514-AE1A-454E86F4B781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(Questionnaire!$G$10,Questionnaire!$H$10,Questionnaire!$I$10,Questionnaire!$J$10)</c:f>
              <c:strCache>
                <c:ptCount val="4"/>
                <c:pt idx="0">
                  <c:v>très actuels</c:v>
                </c:pt>
                <c:pt idx="1">
                  <c:v>actuels</c:v>
                </c:pt>
                <c:pt idx="2">
                  <c:v>un peu dépassés</c:v>
                </c:pt>
                <c:pt idx="3">
                  <c:v>tout à fait dépassés</c:v>
                </c:pt>
              </c:strCache>
            </c:strRef>
          </c:cat>
          <c:val>
            <c:numRef>
              <c:f>(Questionnaire!$G$11,Questionnaire!$H$11,Questionnaire!$I$11,Questionnaire!$J$11)</c:f>
              <c:numCache>
                <c:formatCode>General</c:formatCode>
                <c:ptCount val="4"/>
                <c:pt idx="0">
                  <c:v>5</c:v>
                </c:pt>
                <c:pt idx="1">
                  <c:v>7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36-4514-AE1A-454E86F4B781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56" footer="0.4921259845000015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726495726495726"/>
          <c:y val="3.987730061349721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8547020460662281"/>
          <c:y val="0.40490934002051227"/>
          <c:w val="0.42906000812133094"/>
          <c:h val="0.30674950001553969"/>
        </c:manualLayout>
      </c:layout>
      <c:pie3DChart>
        <c:varyColors val="1"/>
        <c:ser>
          <c:idx val="0"/>
          <c:order val="0"/>
          <c:tx>
            <c:strRef>
              <c:f>Questionnaire!$A$8</c:f>
              <c:strCache>
                <c:ptCount val="1"/>
                <c:pt idx="0">
                  <c:v>1.2 Pour ma profession, l'acquisition de ces compétences m'a semblé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010-4500-BDBF-FEF703820596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010-4500-BDBF-FEF703820596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3010-4500-BDBF-FEF703820596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(Questionnaire!$G$8,Questionnaire!$H$8,Questionnaire!$I$8,Questionnaire!$J$8)</c:f>
              <c:strCache>
                <c:ptCount val="4"/>
                <c:pt idx="0">
                  <c:v>indispensable</c:v>
                </c:pt>
                <c:pt idx="1">
                  <c:v>utile</c:v>
                </c:pt>
                <c:pt idx="2">
                  <c:v>peut-être utile</c:v>
                </c:pt>
                <c:pt idx="3">
                  <c:v>sans aucune utilité</c:v>
                </c:pt>
              </c:strCache>
            </c:strRef>
          </c:cat>
          <c:val>
            <c:numRef>
              <c:f>(Questionnaire!$G$9,Questionnaire!$H$9,Questionnaire!$I$9,Questionnaire!$J$9)</c:f>
              <c:numCache>
                <c:formatCode>General</c:formatCode>
                <c:ptCount val="4"/>
                <c:pt idx="0">
                  <c:v>3</c:v>
                </c:pt>
                <c:pt idx="1">
                  <c:v>11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10-4500-BDBF-FEF703820596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56" footer="0.4921259845000015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7413815729930321"/>
          <c:y val="3.975535168195718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9310388009478588"/>
          <c:y val="0.41284573198251756"/>
          <c:w val="0.41551785354613729"/>
          <c:h val="0.29052107065436455"/>
        </c:manualLayout>
      </c:layout>
      <c:pie3DChart>
        <c:varyColors val="1"/>
        <c:ser>
          <c:idx val="0"/>
          <c:order val="0"/>
          <c:tx>
            <c:strRef>
              <c:f>Questionnaire!$A$12</c:f>
              <c:strCache>
                <c:ptCount val="1"/>
                <c:pt idx="0">
                  <c:v>1.4 Pour suivre cette formation, mon niveau de compétences et de connaissances au départ étaient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93A-4D67-8FD1-62CB7898690F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93A-4D67-8FD1-62CB7898690F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A93A-4D67-8FD1-62CB7898690F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(Questionnaire!$G$12,Questionnaire!$H$12,Questionnaire!$I$12,Questionnaire!$J$12)</c:f>
              <c:strCache>
                <c:ptCount val="4"/>
                <c:pt idx="0">
                  <c:v>tout à fait adaptés</c:v>
                </c:pt>
                <c:pt idx="1">
                  <c:v>suffisants</c:v>
                </c:pt>
                <c:pt idx="2">
                  <c:v>trop hauts</c:v>
                </c:pt>
                <c:pt idx="3">
                  <c:v>trop bas</c:v>
                </c:pt>
              </c:strCache>
            </c:strRef>
          </c:cat>
          <c:val>
            <c:numRef>
              <c:f>(Questionnaire!$G$13,Questionnaire!$H$13,Questionnaire!$I$13,Questionnaire!$J$13)</c:f>
              <c:numCache>
                <c:formatCode>General</c:formatCode>
                <c:ptCount val="4"/>
                <c:pt idx="0">
                  <c:v>8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93A-4D67-8FD1-62CB7898690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56" footer="0.4921259845000015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9259259259259276"/>
          <c:y val="4.457953394123613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46153948882358"/>
          <c:y val="0.37689969604863238"/>
          <c:w val="0.50940192199264955"/>
          <c:h val="0.36170212765957482"/>
        </c:manualLayout>
      </c:layout>
      <c:pie3DChart>
        <c:varyColors val="1"/>
        <c:ser>
          <c:idx val="0"/>
          <c:order val="0"/>
          <c:tx>
            <c:strRef>
              <c:f>Questionnaire!$A$17</c:f>
              <c:strCache>
                <c:ptCount val="1"/>
                <c:pt idx="0">
                  <c:v>2.1 Le style des activités proposées m'a convenu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AE7-4B68-B437-5BB6736561B3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AE7-4B68-B437-5BB6736561B3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4AE7-4B68-B437-5BB6736561B3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(Questionnaire!$G$17,Questionnaire!$H$17,Questionnaire!$I$17,Questionnaire!$J$17)</c:f>
              <c:strCache>
                <c:ptCount val="4"/>
                <c:pt idx="0">
                  <c:v>parfaitement</c:v>
                </c:pt>
                <c:pt idx="1">
                  <c:v>suffisamment</c:v>
                </c:pt>
                <c:pt idx="2">
                  <c:v>moyennement</c:v>
                </c:pt>
                <c:pt idx="3">
                  <c:v>pas du tout</c:v>
                </c:pt>
              </c:strCache>
            </c:strRef>
          </c:cat>
          <c:val>
            <c:numRef>
              <c:f>(Questionnaire!$G$18,Questionnaire!$H$18,Questionnaire!$I$18,Questionnaire!$J$18)</c:f>
              <c:numCache>
                <c:formatCode>General</c:formatCode>
                <c:ptCount val="4"/>
                <c:pt idx="0">
                  <c:v>8</c:v>
                </c:pt>
                <c:pt idx="1">
                  <c:v>5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E7-4B68-B437-5BB6736561B3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56" footer="0.49212598450000156"/>
    <c:pageSetup paperSize="9" orientation="landscape" horizontalDpi="-3" vertic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517245904606753"/>
          <c:y val="3.9513677811550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6896591349874482"/>
          <c:y val="0.39513677811550352"/>
          <c:w val="0.46379378673821964"/>
          <c:h val="0.32522796352583866"/>
        </c:manualLayout>
      </c:layout>
      <c:pie3DChart>
        <c:varyColors val="1"/>
        <c:ser>
          <c:idx val="0"/>
          <c:order val="0"/>
          <c:tx>
            <c:strRef>
              <c:f>Questionnaire!$A$21</c:f>
              <c:strCache>
                <c:ptCount val="1"/>
                <c:pt idx="0">
                  <c:v>2.3 La progression de la difficulté dans le temps était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642-4BC7-A94E-E8E615439289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2642-4BC7-A94E-E8E615439289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2642-4BC7-A94E-E8E615439289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(Questionnaire!$G$21,Questionnaire!$H$21,Questionnaire!$I$21,Questionnaire!$J$21)</c:f>
              <c:strCache>
                <c:ptCount val="4"/>
                <c:pt idx="0">
                  <c:v>très bonne</c:v>
                </c:pt>
                <c:pt idx="1">
                  <c:v>bonne</c:v>
                </c:pt>
                <c:pt idx="2">
                  <c:v>moyenne</c:v>
                </c:pt>
                <c:pt idx="3">
                  <c:v>inadaptée</c:v>
                </c:pt>
              </c:strCache>
            </c:strRef>
          </c:cat>
          <c:val>
            <c:numRef>
              <c:f>(Questionnaire!$G$22,Questionnaire!$H$22,Questionnaire!$I$22,Questionnaire!$J$22)</c:f>
              <c:numCache>
                <c:formatCode>General</c:formatCode>
                <c:ptCount val="4"/>
                <c:pt idx="0">
                  <c:v>9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42-4BC7-A94E-E8E61543928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56" footer="0.4921259845000015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0341880341880428"/>
          <c:y val="3.987730061349721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1709410769485671"/>
          <c:y val="0.35582942001802631"/>
          <c:w val="0.56752160436765653"/>
          <c:h val="0.40184184502035691"/>
        </c:manualLayout>
      </c:layout>
      <c:pie3DChart>
        <c:varyColors val="1"/>
        <c:ser>
          <c:idx val="0"/>
          <c:order val="0"/>
          <c:tx>
            <c:strRef>
              <c:f>Questionnaire!$A$19</c:f>
              <c:strCache>
                <c:ptCount val="1"/>
                <c:pt idx="0">
                  <c:v>2.2 La diversité des activités a été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B6CB-43FE-BD58-B78DC27C4DD2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B6CB-43FE-BD58-B78DC27C4DD2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B6CB-43FE-BD58-B78DC27C4DD2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(Questionnaire!$G$19,Questionnaire!$H$19,Questionnaire!$I$19,Questionnaire!$J$19)</c:f>
              <c:strCache>
                <c:ptCount val="4"/>
                <c:pt idx="0">
                  <c:v>nombreuse et variée</c:v>
                </c:pt>
                <c:pt idx="1">
                  <c:v>correcte</c:v>
                </c:pt>
                <c:pt idx="2">
                  <c:v>faible</c:v>
                </c:pt>
                <c:pt idx="3">
                  <c:v>trop faible</c:v>
                </c:pt>
              </c:strCache>
            </c:strRef>
          </c:cat>
          <c:val>
            <c:numRef>
              <c:f>(Questionnaire!$G$20,Questionnaire!$H$20,Questionnaire!$I$20,Questionnaire!$J$20)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CB-43FE-BD58-B78DC27C4DD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56" footer="0.4921259845000015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172436419585494"/>
          <c:y val="3.975535168195718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31724184669082683"/>
          <c:y val="0.4556593634473694"/>
          <c:w val="0.36724192035405667"/>
          <c:h val="0.2599399053223248"/>
        </c:manualLayout>
      </c:layout>
      <c:pie3DChart>
        <c:varyColors val="1"/>
        <c:ser>
          <c:idx val="0"/>
          <c:order val="0"/>
          <c:tx>
            <c:strRef>
              <c:f>Questionnaire!$A$23</c:f>
              <c:strCache>
                <c:ptCount val="1"/>
                <c:pt idx="0">
                  <c:v>2.4 Le rapport entre les parties de théories et celles de pratiques était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758-4725-8BF5-40C1D4AC4ECA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758-4725-8BF5-40C1D4AC4ECA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4758-4725-8BF5-40C1D4AC4ECA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(Questionnaire!$G$23,Questionnaire!$H$23,Questionnaire!$I$23,Questionnaire!$J$23)</c:f>
              <c:strCache>
                <c:ptCount val="4"/>
                <c:pt idx="0">
                  <c:v>parfait</c:v>
                </c:pt>
                <c:pt idx="1">
                  <c:v>bon</c:v>
                </c:pt>
                <c:pt idx="2">
                  <c:v>trop de pratique</c:v>
                </c:pt>
                <c:pt idx="3">
                  <c:v>trop de théorie</c:v>
                </c:pt>
              </c:strCache>
            </c:strRef>
          </c:cat>
          <c:val>
            <c:numRef>
              <c:f>(Questionnaire!$G$24,Questionnaire!$H$24,Questionnaire!$I$24,Questionnaire!$J$24)</c:f>
              <c:numCache>
                <c:formatCode>General</c:formatCode>
                <c:ptCount val="4"/>
                <c:pt idx="0">
                  <c:v>12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8-4725-8BF5-40C1D4AC4ECA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56" footer="0.4921259845000015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6570413612091603"/>
          <c:y val="5.421686746987950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9310388009478588"/>
          <c:y val="0.41265151275600814"/>
          <c:w val="0.41551785354613729"/>
          <c:h val="0.28614520957533379"/>
        </c:manualLayout>
      </c:layout>
      <c:pie3DChart>
        <c:varyColors val="1"/>
        <c:ser>
          <c:idx val="0"/>
          <c:order val="0"/>
          <c:tx>
            <c:strRef>
              <c:f>Questionnaire!$A$25</c:f>
              <c:strCache>
                <c:ptCount val="1"/>
                <c:pt idx="0">
                  <c:v>2.5 Pour toutes les activités, le matériel et les programmes mis à disposition étaient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AC8-4040-B651-3D268F8437D1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AC8-4040-B651-3D268F8437D1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4AC8-4040-B651-3D268F8437D1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(Questionnaire!$G$25,Questionnaire!$H$25,Questionnaire!$I$25,Questionnaire!$J$25)</c:f>
              <c:strCache>
                <c:ptCount val="4"/>
                <c:pt idx="0">
                  <c:v>luxueux</c:v>
                </c:pt>
                <c:pt idx="1">
                  <c:v>adaptés</c:v>
                </c:pt>
                <c:pt idx="2">
                  <c:v>juste suffisant </c:v>
                </c:pt>
                <c:pt idx="3">
                  <c:v>inadaptés</c:v>
                </c:pt>
              </c:strCache>
            </c:strRef>
          </c:cat>
          <c:val>
            <c:numRef>
              <c:f>(Questionnaire!$G$26,Questionnaire!$H$26,Questionnaire!$I$26,Questionnaire!$J$26)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C8-4040-B651-3D268F8437D1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56" footer="0.49212598450000156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7383843585816974"/>
          <c:y val="3.90390390390390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30120538883670134"/>
          <c:y val="0.44444574783498692"/>
          <c:w val="0.39931228691494663"/>
          <c:h val="0.27627708649201876"/>
        </c:manualLayout>
      </c:layout>
      <c:pie3DChart>
        <c:varyColors val="1"/>
        <c:ser>
          <c:idx val="0"/>
          <c:order val="0"/>
          <c:tx>
            <c:strRef>
              <c:f>Questionnaire!$A$27</c:f>
              <c:strCache>
                <c:ptCount val="1"/>
                <c:pt idx="0">
                  <c:v>2.6 Pour l'acquisition des compétences, les supports de cours distribués (ou construits) étaient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178-40B8-AA83-B072423F278F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178-40B8-AA83-B072423F278F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8178-40B8-AA83-B072423F278F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(Questionnaire!$G$27,Questionnaire!$H$27,Questionnaire!$I$27,Questionnaire!$J$27)</c:f>
              <c:strCache>
                <c:ptCount val="4"/>
                <c:pt idx="0">
                  <c:v>très utiles</c:v>
                </c:pt>
                <c:pt idx="1">
                  <c:v>utiles</c:v>
                </c:pt>
                <c:pt idx="2">
                  <c:v>moyennement utiles</c:v>
                </c:pt>
                <c:pt idx="3">
                  <c:v>inadaptés</c:v>
                </c:pt>
              </c:strCache>
            </c:strRef>
          </c:cat>
          <c:val>
            <c:numRef>
              <c:f>(Questionnaire!$G$28,Questionnaire!$H$28,Questionnaire!$I$28,Questionnaire!$J$28)</c:f>
              <c:numCache>
                <c:formatCode>General</c:formatCode>
                <c:ptCount val="4"/>
                <c:pt idx="0">
                  <c:v>10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78-40B8-AA83-B072423F278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56" footer="0.49212598450000156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0598290598290599"/>
          <c:y val="4.457953394123613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8205139976103422"/>
          <c:y val="0.4042553191489362"/>
          <c:w val="0.43589761781250946"/>
          <c:h val="0.30699088145896858"/>
        </c:manualLayout>
      </c:layout>
      <c:pie3DChart>
        <c:varyColors val="1"/>
        <c:ser>
          <c:idx val="0"/>
          <c:order val="0"/>
          <c:tx>
            <c:strRef>
              <c:f>Questionnaire!$A$32</c:f>
              <c:strCache>
                <c:ptCount val="1"/>
                <c:pt idx="0">
                  <c:v>3.1 Les questions et les besoins des élèves ont été pris en compte avec respect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413-4B7E-91E8-74D3022EEC6A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413-4B7E-91E8-74D3022EEC6A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3413-4B7E-91E8-74D3022EEC6A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(Questionnaire!$G$32,Questionnaire!$H$32,Questionnaire!$I$32,Questionnaire!$J$32)</c:f>
              <c:strCache>
                <c:ptCount val="4"/>
                <c:pt idx="0">
                  <c:v>toujours</c:v>
                </c:pt>
                <c:pt idx="1">
                  <c:v>généralement</c:v>
                </c:pt>
                <c:pt idx="2">
                  <c:v>rarement</c:v>
                </c:pt>
                <c:pt idx="3">
                  <c:v>pas du tout</c:v>
                </c:pt>
              </c:strCache>
            </c:strRef>
          </c:cat>
          <c:val>
            <c:numRef>
              <c:f>(Questionnaire!$G$33,Questionnaire!$H$33,Questionnaire!$I$33,Questionnaire!$J$33)</c:f>
              <c:numCache>
                <c:formatCode>General</c:formatCode>
                <c:ptCount val="4"/>
                <c:pt idx="0">
                  <c:v>12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13-4B7E-91E8-74D3022EEC6A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56" footer="0.49212598450000156"/>
    <c:pageSetup paperSize="9" orientation="landscape" horizontalDpi="-3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6896574350619945"/>
          <c:y val="4.457953394123613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4827622784499581"/>
          <c:y val="0.37993920972644574"/>
          <c:w val="0.5051731580457185"/>
          <c:h val="0.35562310030395294"/>
        </c:manualLayout>
      </c:layout>
      <c:pie3DChart>
        <c:varyColors val="1"/>
        <c:ser>
          <c:idx val="0"/>
          <c:order val="0"/>
          <c:tx>
            <c:strRef>
              <c:f>Questionnaire!$A$36</c:f>
              <c:strCache>
                <c:ptCount val="1"/>
                <c:pt idx="0">
                  <c:v>3.3 Le formateur était enthousiaste et intéressant.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5D7C-4E3A-AA39-7A2966085229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5D7C-4E3A-AA39-7A2966085229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5D7C-4E3A-AA39-7A2966085229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(Questionnaire!$G$36,Questionnaire!$H$36,Questionnaire!$I$36,Questionnaire!$J$36)</c:f>
              <c:strCache>
                <c:ptCount val="4"/>
                <c:pt idx="0">
                  <c:v>beaucoup</c:v>
                </c:pt>
                <c:pt idx="1">
                  <c:v>correct</c:v>
                </c:pt>
                <c:pt idx="2">
                  <c:v>un peu</c:v>
                </c:pt>
                <c:pt idx="3">
                  <c:v>ennuyeux</c:v>
                </c:pt>
              </c:strCache>
            </c:strRef>
          </c:cat>
          <c:val>
            <c:numRef>
              <c:f>(Questionnaire!$G$37,Questionnaire!$H$37,Questionnaire!$I$37,Questionnaire!$J$37)</c:f>
              <c:numCache>
                <c:formatCode>General</c:formatCode>
                <c:ptCount val="4"/>
                <c:pt idx="0">
                  <c:v>11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7C-4E3A-AA39-7A2966085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56" footer="0.4921259845000015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1709401709401721"/>
          <c:y val="3.9513677811550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8205139976103422"/>
          <c:y val="0.4042553191489362"/>
          <c:w val="0.43589761781250957"/>
          <c:h val="0.30699088145896875"/>
        </c:manualLayout>
      </c:layout>
      <c:pie3DChart>
        <c:varyColors val="1"/>
        <c:ser>
          <c:idx val="0"/>
          <c:order val="0"/>
          <c:tx>
            <c:strRef>
              <c:f>Questionnaire!$A$34</c:f>
              <c:strCache>
                <c:ptCount val="1"/>
                <c:pt idx="0">
                  <c:v>3.2 Dans la matière enseignée, le formateur maîtrisait son sujet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7ECF-4E83-A550-DF6FA713B7DD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ECF-4E83-A550-DF6FA713B7DD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7ECF-4E83-A550-DF6FA713B7DD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(Questionnaire!$G$32,Questionnaire!$H$32,Questionnaire!$I$32,Questionnaire!$J$32,Questionnaire!$G$34,Questionnaire!$H$34,Questionnaire!$I$34,Questionnaire!$J$34)</c:f>
              <c:multiLvlStrCache>
                <c:ptCount val="4"/>
                <c:lvl>
                  <c:pt idx="0">
                    <c:v>parfaitement</c:v>
                  </c:pt>
                  <c:pt idx="1">
                    <c:v>assez</c:v>
                  </c:pt>
                  <c:pt idx="2">
                    <c:v>a des lacunes</c:v>
                  </c:pt>
                  <c:pt idx="3">
                    <c:v>faible maîtrise</c:v>
                  </c:pt>
                </c:lvl>
                <c:lvl>
                  <c:pt idx="0">
                    <c:v>toujours</c:v>
                  </c:pt>
                  <c:pt idx="1">
                    <c:v>généralement</c:v>
                  </c:pt>
                  <c:pt idx="2">
                    <c:v>rarement</c:v>
                  </c:pt>
                  <c:pt idx="3">
                    <c:v>pas du tout</c:v>
                  </c:pt>
                </c:lvl>
              </c:multiLvlStrCache>
            </c:multiLvlStrRef>
          </c:cat>
          <c:val>
            <c:numRef>
              <c:f>(Questionnaire!$G$35,Questionnaire!$H$35,Questionnaire!$I$35,Questionnaire!$J$35)</c:f>
              <c:numCache>
                <c:formatCode>General</c:formatCode>
                <c:ptCount val="4"/>
                <c:pt idx="0">
                  <c:v>4</c:v>
                </c:pt>
                <c:pt idx="1">
                  <c:v>8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CF-4E83-A550-DF6FA713B7DD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67" footer="0.49212598450000167"/>
    <c:pageSetup paperSize="9" orientation="landscape" horizontalDpi="-3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2241401936826861"/>
          <c:y val="3.9513677811550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4827622784499587"/>
          <c:y val="0.3799392097264459"/>
          <c:w val="0.5051731580457185"/>
          <c:h val="0.35562310030395305"/>
        </c:manualLayout>
      </c:layout>
      <c:pie3DChart>
        <c:varyColors val="1"/>
        <c:ser>
          <c:idx val="0"/>
          <c:order val="0"/>
          <c:tx>
            <c:strRef>
              <c:f>Questionnaire!$A$38</c:f>
              <c:strCache>
                <c:ptCount val="1"/>
                <c:pt idx="0">
                  <c:v>3.4 Le formateur s'exprimait clairement et se faisait comprendre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793B-4486-8A1B-3FF8D086C63A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93B-4486-8A1B-3FF8D086C63A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793B-4486-8A1B-3FF8D086C63A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(Questionnaire!$G$38,Questionnaire!$H$38,Questionnaire!$I$38,Questionnaire!$J$38)</c:f>
              <c:strCache>
                <c:ptCount val="4"/>
                <c:pt idx="0">
                  <c:v>parfaitement</c:v>
                </c:pt>
                <c:pt idx="1">
                  <c:v>suffisamment</c:v>
                </c:pt>
                <c:pt idx="2">
                  <c:v>peu compréhensible</c:v>
                </c:pt>
                <c:pt idx="3">
                  <c:v>incompréhensible</c:v>
                </c:pt>
              </c:strCache>
            </c:strRef>
          </c:cat>
          <c:val>
            <c:numRef>
              <c:f>(Questionnaire!$G$39,Questionnaire!$H$39,Questionnaire!$I$39,Questionnaire!$J$39)</c:f>
              <c:numCache>
                <c:formatCode>General</c:formatCode>
                <c:ptCount val="4"/>
                <c:pt idx="0">
                  <c:v>10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3B-4486-8A1B-3FF8D086C63A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67" footer="0.49212598450000167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4957264957264971"/>
          <c:y val="3.9513677811550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8376080218382838"/>
          <c:y val="0.4042553191489362"/>
          <c:w val="0.43247881296692148"/>
          <c:h val="0.30699088145896858"/>
        </c:manualLayout>
      </c:layout>
      <c:pie3DChart>
        <c:varyColors val="1"/>
        <c:ser>
          <c:idx val="0"/>
          <c:order val="0"/>
          <c:tx>
            <c:strRef>
              <c:f>Questionnaire!$A$43</c:f>
              <c:strCache>
                <c:ptCount val="1"/>
                <c:pt idx="0">
                  <c:v>4.1 Pour réussir cette formation, les activités ont été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05B-48E6-BCAD-713106D555E0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05B-48E6-BCAD-713106D555E0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05B-48E6-BCAD-713106D555E0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(Questionnaire!$G$43,Questionnaire!$H$43,Questionnaire!$I$43,Questionnaire!$J$43)</c:f>
              <c:strCache>
                <c:ptCount val="4"/>
                <c:pt idx="0">
                  <c:v>efficaces</c:v>
                </c:pt>
                <c:pt idx="1">
                  <c:v>correctes</c:v>
                </c:pt>
                <c:pt idx="2">
                  <c:v>peu adaptées</c:v>
                </c:pt>
                <c:pt idx="3">
                  <c:v>inadaptées</c:v>
                </c:pt>
              </c:strCache>
            </c:strRef>
          </c:cat>
          <c:val>
            <c:numRef>
              <c:f>(Questionnaire!$G$44,Questionnaire!$H$44,Questionnaire!$I$44,Questionnaire!$J$44)</c:f>
              <c:numCache>
                <c:formatCode>General</c:formatCode>
                <c:ptCount val="4"/>
                <c:pt idx="0">
                  <c:v>9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5B-48E6-BCAD-713106D555E0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56" footer="0.49212598450000156"/>
    <c:pageSetup paperSize="9" orientation="landscape" horizontalDpi="-3" verticalDpi="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2126459408091242"/>
          <c:y val="5.977710233029383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5517278972958013"/>
          <c:y val="0.38297872340425987"/>
          <c:w val="0.49138003427655441"/>
          <c:h val="0.34650455927051682"/>
        </c:manualLayout>
      </c:layout>
      <c:pie3DChart>
        <c:varyColors val="1"/>
        <c:ser>
          <c:idx val="0"/>
          <c:order val="0"/>
          <c:tx>
            <c:strRef>
              <c:f>Questionnaire!$A$47</c:f>
              <c:strCache>
                <c:ptCount val="1"/>
                <c:pt idx="0">
                  <c:v>4.3 Pour vérifier les compétences et les objectifs, les épreuves étaient 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8CB-481E-BD7C-B5E22AF77268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68CB-481E-BD7C-B5E22AF77268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68CB-481E-BD7C-B5E22AF77268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(Questionnaire!$G$47,Questionnaire!$H$47,Questionnaire!$I$47,Questionnaire!$J$47)</c:f>
              <c:strCache>
                <c:ptCount val="4"/>
                <c:pt idx="0">
                  <c:v>parfaites</c:v>
                </c:pt>
                <c:pt idx="1">
                  <c:v>correctes</c:v>
                </c:pt>
                <c:pt idx="2">
                  <c:v>peu pertinentes</c:v>
                </c:pt>
                <c:pt idx="3">
                  <c:v>inadaptées</c:v>
                </c:pt>
              </c:strCache>
            </c:strRef>
          </c:cat>
          <c:val>
            <c:numRef>
              <c:f>(Questionnaire!$G$48,Questionnaire!$H$48,Questionnaire!$I$48,Questionnaire!$J$48)</c:f>
              <c:numCache>
                <c:formatCode>General</c:formatCode>
                <c:ptCount val="4"/>
                <c:pt idx="0">
                  <c:v>8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CB-481E-BD7C-B5E22AF77268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56" footer="0.4921259845000015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7.9729456894811312E-2"/>
          <c:y val="5.010224948875254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6153857068750447"/>
          <c:y val="0.38650437001958288"/>
          <c:w val="0.4786326783823629"/>
          <c:h val="0.34049194501725061"/>
        </c:manualLayout>
      </c:layout>
      <c:pie3DChart>
        <c:varyColors val="1"/>
        <c:ser>
          <c:idx val="0"/>
          <c:order val="0"/>
          <c:tx>
            <c:strRef>
              <c:f>Questionnaire!$A$45</c:f>
              <c:strCache>
                <c:ptCount val="1"/>
                <c:pt idx="0">
                  <c:v>4.2 Pour réussir cette formation, le nombre et le style des tests formatifs et/ou des révisions proposés ont été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6E9-4DBA-93C8-A2910768CE77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6E9-4DBA-93C8-A2910768CE77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86E9-4DBA-93C8-A2910768CE77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(Questionnaire!$G$45,Questionnaire!$H$45,Questionnaire!$I$45,Questionnaire!$J$45)</c:f>
              <c:strCache>
                <c:ptCount val="4"/>
                <c:pt idx="0">
                  <c:v>très appropriés</c:v>
                </c:pt>
                <c:pt idx="1">
                  <c:v>adéquats</c:v>
                </c:pt>
                <c:pt idx="2">
                  <c:v>peu adaptés</c:v>
                </c:pt>
                <c:pt idx="3">
                  <c:v>inadéquats</c:v>
                </c:pt>
              </c:strCache>
            </c:strRef>
          </c:cat>
          <c:val>
            <c:numRef>
              <c:f>(Questionnaire!$G$46,Questionnaire!$H$46,Questionnaire!$I$46,Questionnaire!$J$46)</c:f>
              <c:numCache>
                <c:formatCode>General</c:formatCode>
                <c:ptCount val="4"/>
                <c:pt idx="0">
                  <c:v>9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E9-4DBA-93C8-A2910768CE77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156" footer="0.49212598450000156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495300</xdr:colOff>
          <xdr:row>0</xdr:row>
          <xdr:rowOff>219075</xdr:rowOff>
        </xdr:from>
        <xdr:to>
          <xdr:col>14</xdr:col>
          <xdr:colOff>28575</xdr:colOff>
          <xdr:row>1</xdr:row>
          <xdr:rowOff>495300</xdr:rowOff>
        </xdr:to>
        <xdr:sp macro="" textlink="">
          <xdr:nvSpPr>
            <xdr:cNvPr id="2050" name="BtnRapatriemen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2</xdr:row>
      <xdr:rowOff>7620</xdr:rowOff>
    </xdr:from>
    <xdr:to>
      <xdr:col>0</xdr:col>
      <xdr:colOff>4472940</xdr:colOff>
      <xdr:row>17</xdr:row>
      <xdr:rowOff>0</xdr:rowOff>
    </xdr:to>
    <xdr:graphicFrame macro="">
      <xdr:nvGraphicFramePr>
        <xdr:cNvPr id="2056" name="Chart 4">
          <a:extLst>
            <a:ext uri="{FF2B5EF4-FFF2-40B4-BE49-F238E27FC236}">
              <a16:creationId xmlns:a16="http://schemas.microsoft.com/office/drawing/2014/main" id="{00000000-0008-0000-0200-000008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4495800</xdr:colOff>
      <xdr:row>2</xdr:row>
      <xdr:rowOff>7620</xdr:rowOff>
    </xdr:from>
    <xdr:to>
      <xdr:col>0</xdr:col>
      <xdr:colOff>8915400</xdr:colOff>
      <xdr:row>17</xdr:row>
      <xdr:rowOff>0</xdr:rowOff>
    </xdr:to>
    <xdr:graphicFrame macro="">
      <xdr:nvGraphicFramePr>
        <xdr:cNvPr id="2057" name="Chart 5">
          <a:extLst>
            <a:ext uri="{FF2B5EF4-FFF2-40B4-BE49-F238E27FC236}">
              <a16:creationId xmlns:a16="http://schemas.microsoft.com/office/drawing/2014/main" id="{00000000-0008-0000-0200-00000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</xdr:colOff>
      <xdr:row>17</xdr:row>
      <xdr:rowOff>30480</xdr:rowOff>
    </xdr:from>
    <xdr:to>
      <xdr:col>0</xdr:col>
      <xdr:colOff>4472940</xdr:colOff>
      <xdr:row>32</xdr:row>
      <xdr:rowOff>0</xdr:rowOff>
    </xdr:to>
    <xdr:graphicFrame macro="">
      <xdr:nvGraphicFramePr>
        <xdr:cNvPr id="2058" name="Chart 6">
          <a:extLst>
            <a:ext uri="{FF2B5EF4-FFF2-40B4-BE49-F238E27FC236}">
              <a16:creationId xmlns:a16="http://schemas.microsoft.com/office/drawing/2014/main" id="{00000000-0008-0000-0200-00000A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4495800</xdr:colOff>
      <xdr:row>17</xdr:row>
      <xdr:rowOff>22860</xdr:rowOff>
    </xdr:from>
    <xdr:to>
      <xdr:col>0</xdr:col>
      <xdr:colOff>8915400</xdr:colOff>
      <xdr:row>32</xdr:row>
      <xdr:rowOff>0</xdr:rowOff>
    </xdr:to>
    <xdr:graphicFrame macro="">
      <xdr:nvGraphicFramePr>
        <xdr:cNvPr id="2059" name="Chart 7">
          <a:extLst>
            <a:ext uri="{FF2B5EF4-FFF2-40B4-BE49-F238E27FC236}">
              <a16:creationId xmlns:a16="http://schemas.microsoft.com/office/drawing/2014/main" id="{00000000-0008-0000-0200-00000B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2</xdr:row>
      <xdr:rowOff>7620</xdr:rowOff>
    </xdr:from>
    <xdr:to>
      <xdr:col>0</xdr:col>
      <xdr:colOff>4472940</xdr:colOff>
      <xdr:row>17</xdr:row>
      <xdr:rowOff>0</xdr:rowOff>
    </xdr:to>
    <xdr:graphicFrame macro="">
      <xdr:nvGraphicFramePr>
        <xdr:cNvPr id="3079" name="Chart 1">
          <a:extLst>
            <a:ext uri="{FF2B5EF4-FFF2-40B4-BE49-F238E27FC236}">
              <a16:creationId xmlns:a16="http://schemas.microsoft.com/office/drawing/2014/main" id="{00000000-0008-0000-0300-000007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4495800</xdr:colOff>
      <xdr:row>2</xdr:row>
      <xdr:rowOff>7620</xdr:rowOff>
    </xdr:from>
    <xdr:to>
      <xdr:col>0</xdr:col>
      <xdr:colOff>8915400</xdr:colOff>
      <xdr:row>17</xdr:row>
      <xdr:rowOff>0</xdr:rowOff>
    </xdr:to>
    <xdr:graphicFrame macro="">
      <xdr:nvGraphicFramePr>
        <xdr:cNvPr id="3080" name="Chart 2">
          <a:extLst>
            <a:ext uri="{FF2B5EF4-FFF2-40B4-BE49-F238E27FC236}">
              <a16:creationId xmlns:a16="http://schemas.microsoft.com/office/drawing/2014/main" id="{00000000-0008-0000-0300-000008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</xdr:colOff>
      <xdr:row>17</xdr:row>
      <xdr:rowOff>30480</xdr:rowOff>
    </xdr:from>
    <xdr:to>
      <xdr:col>0</xdr:col>
      <xdr:colOff>4472940</xdr:colOff>
      <xdr:row>32</xdr:row>
      <xdr:rowOff>0</xdr:rowOff>
    </xdr:to>
    <xdr:graphicFrame macro="">
      <xdr:nvGraphicFramePr>
        <xdr:cNvPr id="3081" name="Chart 3">
          <a:extLst>
            <a:ext uri="{FF2B5EF4-FFF2-40B4-BE49-F238E27FC236}">
              <a16:creationId xmlns:a16="http://schemas.microsoft.com/office/drawing/2014/main" id="{00000000-0008-0000-0300-000009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4495800</xdr:colOff>
      <xdr:row>17</xdr:row>
      <xdr:rowOff>22860</xdr:rowOff>
    </xdr:from>
    <xdr:to>
      <xdr:col>0</xdr:col>
      <xdr:colOff>8915400</xdr:colOff>
      <xdr:row>32</xdr:row>
      <xdr:rowOff>0</xdr:rowOff>
    </xdr:to>
    <xdr:graphicFrame macro="">
      <xdr:nvGraphicFramePr>
        <xdr:cNvPr id="3082" name="Chart 4">
          <a:extLst>
            <a:ext uri="{FF2B5EF4-FFF2-40B4-BE49-F238E27FC236}">
              <a16:creationId xmlns:a16="http://schemas.microsoft.com/office/drawing/2014/main" id="{00000000-0008-0000-03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39</xdr:row>
      <xdr:rowOff>7620</xdr:rowOff>
    </xdr:from>
    <xdr:to>
      <xdr:col>0</xdr:col>
      <xdr:colOff>4419600</xdr:colOff>
      <xdr:row>54</xdr:row>
      <xdr:rowOff>22860</xdr:rowOff>
    </xdr:to>
    <xdr:graphicFrame macro="">
      <xdr:nvGraphicFramePr>
        <xdr:cNvPr id="3083" name="Chart 5">
          <a:extLst>
            <a:ext uri="{FF2B5EF4-FFF2-40B4-BE49-F238E27FC236}">
              <a16:creationId xmlns:a16="http://schemas.microsoft.com/office/drawing/2014/main" id="{00000000-0008-0000-03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4457700</xdr:colOff>
      <xdr:row>39</xdr:row>
      <xdr:rowOff>7620</xdr:rowOff>
    </xdr:from>
    <xdr:to>
      <xdr:col>0</xdr:col>
      <xdr:colOff>8884920</xdr:colOff>
      <xdr:row>54</xdr:row>
      <xdr:rowOff>30480</xdr:rowOff>
    </xdr:to>
    <xdr:graphicFrame macro="">
      <xdr:nvGraphicFramePr>
        <xdr:cNvPr id="3084" name="Chart 6">
          <a:extLst>
            <a:ext uri="{FF2B5EF4-FFF2-40B4-BE49-F238E27FC236}">
              <a16:creationId xmlns:a16="http://schemas.microsoft.com/office/drawing/2014/main" id="{00000000-0008-0000-03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2</xdr:row>
      <xdr:rowOff>7620</xdr:rowOff>
    </xdr:from>
    <xdr:to>
      <xdr:col>0</xdr:col>
      <xdr:colOff>4472940</xdr:colOff>
      <xdr:row>17</xdr:row>
      <xdr:rowOff>0</xdr:rowOff>
    </xdr:to>
    <xdr:graphicFrame macro="">
      <xdr:nvGraphicFramePr>
        <xdr:cNvPr id="4101" name="Chart 1">
          <a:extLst>
            <a:ext uri="{FF2B5EF4-FFF2-40B4-BE49-F238E27FC236}">
              <a16:creationId xmlns:a16="http://schemas.microsoft.com/office/drawing/2014/main" id="{00000000-0008-0000-0400-000005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4495800</xdr:colOff>
      <xdr:row>2</xdr:row>
      <xdr:rowOff>7620</xdr:rowOff>
    </xdr:from>
    <xdr:to>
      <xdr:col>0</xdr:col>
      <xdr:colOff>8915400</xdr:colOff>
      <xdr:row>17</xdr:row>
      <xdr:rowOff>0</xdr:rowOff>
    </xdr:to>
    <xdr:graphicFrame macro="">
      <xdr:nvGraphicFramePr>
        <xdr:cNvPr id="4102" name="Chart 2">
          <a:extLst>
            <a:ext uri="{FF2B5EF4-FFF2-40B4-BE49-F238E27FC236}">
              <a16:creationId xmlns:a16="http://schemas.microsoft.com/office/drawing/2014/main" id="{00000000-0008-0000-0400-000006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7620</xdr:colOff>
      <xdr:row>19</xdr:row>
      <xdr:rowOff>15240</xdr:rowOff>
    </xdr:from>
    <xdr:to>
      <xdr:col>0</xdr:col>
      <xdr:colOff>4465320</xdr:colOff>
      <xdr:row>34</xdr:row>
      <xdr:rowOff>7620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4480560</xdr:colOff>
      <xdr:row>19</xdr:row>
      <xdr:rowOff>15240</xdr:rowOff>
    </xdr:from>
    <xdr:to>
      <xdr:col>0</xdr:col>
      <xdr:colOff>8900160</xdr:colOff>
      <xdr:row>34</xdr:row>
      <xdr:rowOff>7620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2</xdr:row>
      <xdr:rowOff>7620</xdr:rowOff>
    </xdr:from>
    <xdr:to>
      <xdr:col>0</xdr:col>
      <xdr:colOff>4472940</xdr:colOff>
      <xdr:row>17</xdr:row>
      <xdr:rowOff>0</xdr:rowOff>
    </xdr:to>
    <xdr:graphicFrame macro="">
      <xdr:nvGraphicFramePr>
        <xdr:cNvPr id="5125" name="Chart 1">
          <a:extLst>
            <a:ext uri="{FF2B5EF4-FFF2-40B4-BE49-F238E27FC236}">
              <a16:creationId xmlns:a16="http://schemas.microsoft.com/office/drawing/2014/main" id="{00000000-0008-0000-0500-000005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4495800</xdr:colOff>
      <xdr:row>2</xdr:row>
      <xdr:rowOff>7620</xdr:rowOff>
    </xdr:from>
    <xdr:to>
      <xdr:col>0</xdr:col>
      <xdr:colOff>8915400</xdr:colOff>
      <xdr:row>17</xdr:row>
      <xdr:rowOff>0</xdr:rowOff>
    </xdr:to>
    <xdr:graphicFrame macro="">
      <xdr:nvGraphicFramePr>
        <xdr:cNvPr id="5126" name="Chart 2">
          <a:extLst>
            <a:ext uri="{FF2B5EF4-FFF2-40B4-BE49-F238E27FC236}">
              <a16:creationId xmlns:a16="http://schemas.microsoft.com/office/drawing/2014/main" id="{00000000-0008-0000-0500-000006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</xdr:colOff>
      <xdr:row>17</xdr:row>
      <xdr:rowOff>30480</xdr:rowOff>
    </xdr:from>
    <xdr:to>
      <xdr:col>0</xdr:col>
      <xdr:colOff>4472940</xdr:colOff>
      <xdr:row>32</xdr:row>
      <xdr:rowOff>0</xdr:rowOff>
    </xdr:to>
    <xdr:graphicFrame macro="">
      <xdr:nvGraphicFramePr>
        <xdr:cNvPr id="5127" name="Chart 3">
          <a:extLst>
            <a:ext uri="{FF2B5EF4-FFF2-40B4-BE49-F238E27FC236}">
              <a16:creationId xmlns:a16="http://schemas.microsoft.com/office/drawing/2014/main" id="{00000000-0008-0000-0500-000007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9"/>
  <dimension ref="A1:D60"/>
  <sheetViews>
    <sheetView topLeftCell="A22" workbookViewId="0">
      <selection activeCell="D11" sqref="D11"/>
    </sheetView>
  </sheetViews>
  <sheetFormatPr defaultColWidth="11.5703125" defaultRowHeight="12.75"/>
  <cols>
    <col min="1" max="1" width="22" style="12" customWidth="1"/>
    <col min="2" max="2" width="20.7109375" style="12" customWidth="1"/>
    <col min="3" max="3" width="40.7109375" style="12" customWidth="1"/>
    <col min="4" max="4" width="18.7109375" style="12" customWidth="1"/>
    <col min="5" max="16384" width="11.5703125" style="12"/>
  </cols>
  <sheetData>
    <row r="1" spans="1:4" ht="25.5">
      <c r="A1" s="32" t="s">
        <v>0</v>
      </c>
      <c r="B1" s="32" t="s">
        <v>1</v>
      </c>
      <c r="C1" s="32" t="s">
        <v>2</v>
      </c>
      <c r="D1" s="32" t="s">
        <v>3</v>
      </c>
    </row>
    <row r="2" spans="1:4" ht="23.25">
      <c r="A2" s="38" t="s">
        <v>4</v>
      </c>
      <c r="B2" s="36" t="s">
        <v>5</v>
      </c>
      <c r="C2" s="35" t="s">
        <v>6</v>
      </c>
      <c r="D2" s="36" t="s">
        <v>7</v>
      </c>
    </row>
    <row r="3" spans="1:4" ht="23.25">
      <c r="A3" s="38" t="s">
        <v>8</v>
      </c>
      <c r="B3" s="36" t="s">
        <v>9</v>
      </c>
      <c r="C3" s="35" t="s">
        <v>10</v>
      </c>
      <c r="D3" s="36" t="s">
        <v>11</v>
      </c>
    </row>
    <row r="4" spans="1:4" ht="23.25">
      <c r="A4" s="38" t="s">
        <v>12</v>
      </c>
      <c r="B4" s="36" t="s">
        <v>13</v>
      </c>
      <c r="C4" s="35" t="s">
        <v>14</v>
      </c>
      <c r="D4" s="36" t="s">
        <v>15</v>
      </c>
    </row>
    <row r="5" spans="1:4" ht="23.25">
      <c r="A5" s="38" t="s">
        <v>16</v>
      </c>
      <c r="B5" s="36" t="s">
        <v>17</v>
      </c>
      <c r="C5" s="35" t="s">
        <v>18</v>
      </c>
      <c r="D5" s="36" t="s">
        <v>19</v>
      </c>
    </row>
    <row r="6" spans="1:4" ht="23.25">
      <c r="A6" s="38">
        <v>100</v>
      </c>
      <c r="B6" s="36" t="s">
        <v>20</v>
      </c>
      <c r="C6" s="35" t="s">
        <v>21</v>
      </c>
      <c r="D6" s="36" t="s">
        <v>22</v>
      </c>
    </row>
    <row r="7" spans="1:4" ht="23.25">
      <c r="A7" s="38">
        <v>101</v>
      </c>
      <c r="B7" s="36" t="s">
        <v>23</v>
      </c>
      <c r="C7" s="35" t="s">
        <v>24</v>
      </c>
      <c r="D7" s="36" t="s">
        <v>25</v>
      </c>
    </row>
    <row r="8" spans="1:4" ht="23.25">
      <c r="A8" s="35">
        <v>104</v>
      </c>
      <c r="B8" s="36" t="s">
        <v>26</v>
      </c>
      <c r="C8" s="35" t="s">
        <v>27</v>
      </c>
      <c r="D8" s="36" t="s">
        <v>28</v>
      </c>
    </row>
    <row r="9" spans="1:4" ht="23.25">
      <c r="A9" s="35">
        <v>105</v>
      </c>
      <c r="B9" s="36" t="s">
        <v>29</v>
      </c>
      <c r="C9" s="35" t="s">
        <v>30</v>
      </c>
      <c r="D9" s="37"/>
    </row>
    <row r="10" spans="1:4" ht="23.25">
      <c r="A10" s="35">
        <v>106</v>
      </c>
      <c r="B10" s="36" t="s">
        <v>31</v>
      </c>
      <c r="C10" s="35" t="s">
        <v>32</v>
      </c>
      <c r="D10" s="37"/>
    </row>
    <row r="11" spans="1:4" ht="23.25">
      <c r="A11" s="35">
        <v>107</v>
      </c>
      <c r="B11" s="36" t="s">
        <v>33</v>
      </c>
      <c r="C11" s="35" t="s">
        <v>34</v>
      </c>
      <c r="D11" s="37"/>
    </row>
    <row r="12" spans="1:4" ht="23.25">
      <c r="A12" s="35">
        <v>114</v>
      </c>
      <c r="B12" s="36" t="s">
        <v>35</v>
      </c>
      <c r="C12" s="35" t="s">
        <v>36</v>
      </c>
      <c r="D12" s="37"/>
    </row>
    <row r="13" spans="1:4" ht="23.25">
      <c r="A13" s="35">
        <v>117</v>
      </c>
      <c r="B13" s="36" t="s">
        <v>37</v>
      </c>
      <c r="C13" s="35" t="s">
        <v>38</v>
      </c>
      <c r="D13" s="37"/>
    </row>
    <row r="14" spans="1:4" ht="23.25">
      <c r="A14" s="35">
        <v>120</v>
      </c>
      <c r="B14" s="36" t="s">
        <v>39</v>
      </c>
      <c r="C14" s="35" t="s">
        <v>40</v>
      </c>
      <c r="D14" s="37"/>
    </row>
    <row r="15" spans="1:4" ht="23.25">
      <c r="A15" s="35">
        <v>122</v>
      </c>
      <c r="B15" s="36" t="s">
        <v>41</v>
      </c>
      <c r="C15" s="35" t="s">
        <v>42</v>
      </c>
      <c r="D15" s="37"/>
    </row>
    <row r="16" spans="1:4" ht="23.25">
      <c r="A16" s="35">
        <v>123</v>
      </c>
      <c r="B16" s="36" t="s">
        <v>43</v>
      </c>
      <c r="C16" s="35" t="s">
        <v>44</v>
      </c>
      <c r="D16" s="37"/>
    </row>
    <row r="17" spans="1:4" ht="23.25">
      <c r="A17" s="35">
        <v>126</v>
      </c>
      <c r="B17" s="36" t="s">
        <v>45</v>
      </c>
      <c r="C17" s="35" t="s">
        <v>46</v>
      </c>
      <c r="D17" s="37"/>
    </row>
    <row r="18" spans="1:4" ht="23.25">
      <c r="A18" s="35">
        <v>127</v>
      </c>
      <c r="B18" s="36" t="s">
        <v>47</v>
      </c>
      <c r="C18" s="35" t="s">
        <v>48</v>
      </c>
      <c r="D18" s="37"/>
    </row>
    <row r="19" spans="1:4" ht="23.25">
      <c r="A19" s="35">
        <v>129</v>
      </c>
      <c r="B19" s="36" t="s">
        <v>49</v>
      </c>
      <c r="C19" s="35" t="s">
        <v>50</v>
      </c>
      <c r="D19" s="37"/>
    </row>
    <row r="20" spans="1:4" ht="23.25">
      <c r="A20" s="35">
        <v>133</v>
      </c>
      <c r="B20" s="36" t="s">
        <v>51</v>
      </c>
      <c r="C20" s="35" t="s">
        <v>52</v>
      </c>
      <c r="D20" s="37"/>
    </row>
    <row r="21" spans="1:4" ht="23.25">
      <c r="A21" s="35">
        <v>141</v>
      </c>
      <c r="B21" s="36" t="s">
        <v>53</v>
      </c>
      <c r="C21" s="35" t="s">
        <v>54</v>
      </c>
      <c r="D21" s="37"/>
    </row>
    <row r="22" spans="1:4" ht="23.25">
      <c r="A22" s="35">
        <v>143</v>
      </c>
      <c r="B22" s="36"/>
      <c r="C22" s="35" t="s">
        <v>55</v>
      </c>
      <c r="D22" s="37"/>
    </row>
    <row r="23" spans="1:4" ht="23.25">
      <c r="A23" s="35">
        <v>145</v>
      </c>
      <c r="B23" s="37"/>
      <c r="C23" s="35" t="s">
        <v>56</v>
      </c>
      <c r="D23" s="37"/>
    </row>
    <row r="24" spans="1:4" ht="23.25">
      <c r="A24" s="35">
        <v>146</v>
      </c>
      <c r="B24" s="37"/>
      <c r="C24" s="35" t="s">
        <v>57</v>
      </c>
      <c r="D24" s="37"/>
    </row>
    <row r="25" spans="1:4" ht="23.25">
      <c r="A25" s="35">
        <v>150</v>
      </c>
      <c r="B25" s="37"/>
      <c r="C25" s="35" t="s">
        <v>58</v>
      </c>
      <c r="D25" s="37"/>
    </row>
    <row r="26" spans="1:4" ht="23.25">
      <c r="A26" s="35">
        <v>151</v>
      </c>
      <c r="B26" s="37"/>
      <c r="C26" s="37"/>
      <c r="D26" s="37"/>
    </row>
    <row r="27" spans="1:4" ht="23.25">
      <c r="A27" s="35">
        <v>152</v>
      </c>
      <c r="B27" s="37"/>
      <c r="C27" s="37"/>
      <c r="D27" s="37"/>
    </row>
    <row r="28" spans="1:4" ht="23.25">
      <c r="A28" s="35">
        <v>157</v>
      </c>
      <c r="B28" s="37"/>
      <c r="C28" s="37"/>
      <c r="D28" s="37"/>
    </row>
    <row r="29" spans="1:4" ht="23.25">
      <c r="A29" s="35">
        <v>158</v>
      </c>
      <c r="B29" s="37"/>
      <c r="C29" s="37"/>
      <c r="D29" s="37"/>
    </row>
    <row r="30" spans="1:4" ht="23.25">
      <c r="A30" s="35">
        <v>159</v>
      </c>
      <c r="B30" s="37"/>
      <c r="C30" s="37"/>
      <c r="D30" s="37"/>
    </row>
    <row r="31" spans="1:4" ht="23.25">
      <c r="A31" s="35">
        <v>162</v>
      </c>
      <c r="B31" s="37"/>
      <c r="C31" s="37"/>
      <c r="D31" s="37"/>
    </row>
    <row r="32" spans="1:4" ht="23.25">
      <c r="A32" s="35">
        <v>164</v>
      </c>
      <c r="B32" s="37"/>
      <c r="C32" s="37"/>
      <c r="D32" s="37"/>
    </row>
    <row r="33" spans="1:4" ht="23.25">
      <c r="A33" s="35">
        <v>169</v>
      </c>
      <c r="B33" s="37"/>
      <c r="C33" s="37"/>
      <c r="D33" s="37"/>
    </row>
    <row r="34" spans="1:4" ht="23.25">
      <c r="A34" s="35">
        <v>182</v>
      </c>
      <c r="B34" s="37"/>
      <c r="C34" s="37"/>
      <c r="D34" s="37"/>
    </row>
    <row r="35" spans="1:4" ht="23.25">
      <c r="A35" s="35">
        <v>184</v>
      </c>
      <c r="B35" s="37"/>
      <c r="C35" s="37"/>
      <c r="D35" s="37"/>
    </row>
    <row r="36" spans="1:4" ht="23.25">
      <c r="A36" s="35">
        <v>187</v>
      </c>
      <c r="B36" s="37"/>
      <c r="C36" s="37"/>
      <c r="D36" s="37"/>
    </row>
    <row r="37" spans="1:4" ht="23.25">
      <c r="A37" s="35">
        <v>188</v>
      </c>
      <c r="B37" s="37"/>
      <c r="C37" s="37"/>
      <c r="D37" s="37"/>
    </row>
    <row r="38" spans="1:4" ht="23.25">
      <c r="A38" s="35">
        <v>190</v>
      </c>
      <c r="B38" s="37"/>
      <c r="C38" s="37"/>
      <c r="D38" s="37"/>
    </row>
    <row r="39" spans="1:4" ht="23.25">
      <c r="A39" s="35">
        <v>214</v>
      </c>
      <c r="B39" s="37"/>
      <c r="C39" s="37"/>
      <c r="D39" s="37"/>
    </row>
    <row r="40" spans="1:4" ht="23.25">
      <c r="A40" s="35">
        <v>216</v>
      </c>
      <c r="B40" s="37"/>
      <c r="C40" s="37"/>
      <c r="D40" s="37"/>
    </row>
    <row r="41" spans="1:4" ht="23.25">
      <c r="A41" s="35">
        <v>226</v>
      </c>
      <c r="B41" s="37"/>
      <c r="C41" s="37"/>
      <c r="D41" s="37"/>
    </row>
    <row r="42" spans="1:4" ht="23.25">
      <c r="A42" s="35">
        <v>231</v>
      </c>
      <c r="B42" s="37"/>
      <c r="C42" s="37"/>
      <c r="D42" s="37"/>
    </row>
    <row r="43" spans="1:4" ht="23.25">
      <c r="A43" s="35">
        <v>239</v>
      </c>
      <c r="B43" s="37"/>
      <c r="C43" s="37"/>
      <c r="D43" s="37"/>
    </row>
    <row r="44" spans="1:4" ht="23.25">
      <c r="A44" s="35">
        <v>241</v>
      </c>
      <c r="B44" s="37"/>
      <c r="C44" s="37"/>
      <c r="D44" s="37"/>
    </row>
    <row r="45" spans="1:4" ht="23.25">
      <c r="A45" s="35">
        <v>245</v>
      </c>
      <c r="B45" s="37"/>
      <c r="C45" s="37"/>
      <c r="D45" s="37"/>
    </row>
    <row r="46" spans="1:4" ht="23.25">
      <c r="A46" s="35">
        <v>254</v>
      </c>
      <c r="B46" s="37"/>
      <c r="C46" s="37"/>
      <c r="D46" s="37"/>
    </row>
    <row r="47" spans="1:4" ht="23.25">
      <c r="A47" s="35">
        <v>293</v>
      </c>
      <c r="B47" s="37"/>
      <c r="C47" s="37"/>
      <c r="D47" s="37"/>
    </row>
    <row r="48" spans="1:4" ht="23.25">
      <c r="A48" s="35">
        <v>300</v>
      </c>
      <c r="B48" s="37"/>
      <c r="C48" s="37"/>
      <c r="D48" s="37"/>
    </row>
    <row r="49" spans="1:4" ht="23.25">
      <c r="A49" s="35">
        <v>302</v>
      </c>
      <c r="B49" s="37"/>
      <c r="C49" s="37"/>
      <c r="D49" s="37"/>
    </row>
    <row r="50" spans="1:4" ht="23.25">
      <c r="A50" s="35">
        <v>304</v>
      </c>
      <c r="B50" s="37"/>
      <c r="C50" s="37"/>
      <c r="D50" s="37"/>
    </row>
    <row r="51" spans="1:4" ht="23.25">
      <c r="A51" s="35">
        <v>305</v>
      </c>
      <c r="B51" s="37"/>
      <c r="C51" s="37"/>
      <c r="D51" s="37"/>
    </row>
    <row r="52" spans="1:4" ht="23.25">
      <c r="A52" s="35">
        <v>306</v>
      </c>
      <c r="B52" s="37"/>
      <c r="C52" s="37"/>
      <c r="D52" s="37"/>
    </row>
    <row r="53" spans="1:4" ht="23.25">
      <c r="A53" s="35">
        <v>319</v>
      </c>
      <c r="B53" s="37"/>
      <c r="C53" s="37"/>
      <c r="D53" s="37"/>
    </row>
    <row r="54" spans="1:4" ht="23.25">
      <c r="A54" s="35">
        <v>340</v>
      </c>
      <c r="B54" s="37"/>
      <c r="C54" s="37"/>
      <c r="D54" s="37"/>
    </row>
    <row r="55" spans="1:4" ht="23.25">
      <c r="A55" s="35">
        <v>346</v>
      </c>
      <c r="B55" s="37"/>
      <c r="C55" s="37"/>
      <c r="D55" s="37"/>
    </row>
    <row r="56" spans="1:4" ht="23.25">
      <c r="A56" s="35">
        <v>403</v>
      </c>
      <c r="B56" s="37"/>
      <c r="C56" s="37"/>
      <c r="D56" s="37"/>
    </row>
    <row r="57" spans="1:4" ht="23.25">
      <c r="A57" s="35">
        <v>404</v>
      </c>
      <c r="B57" s="37"/>
      <c r="C57" s="37"/>
      <c r="D57" s="37"/>
    </row>
    <row r="58" spans="1:4" ht="23.25">
      <c r="A58" s="35">
        <v>426</v>
      </c>
      <c r="B58" s="37"/>
      <c r="C58" s="37"/>
      <c r="D58" s="37"/>
    </row>
    <row r="59" spans="1:4" ht="23.25">
      <c r="A59" s="35">
        <v>431</v>
      </c>
      <c r="B59" s="37"/>
      <c r="C59" s="37"/>
      <c r="D59" s="37"/>
    </row>
    <row r="60" spans="1:4" ht="23.25">
      <c r="A60" s="35">
        <v>437</v>
      </c>
      <c r="B60" s="37"/>
      <c r="C60" s="37"/>
      <c r="D60" s="3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>
    <pageSetUpPr fitToPage="1"/>
  </sheetPr>
  <dimension ref="A1:J57"/>
  <sheetViews>
    <sheetView zoomScaleNormal="100" zoomScaleSheetLayoutView="100" zoomScalePageLayoutView="85" workbookViewId="0">
      <selection activeCell="D1" sqref="D1"/>
    </sheetView>
  </sheetViews>
  <sheetFormatPr defaultColWidth="11.5703125" defaultRowHeight="12.75"/>
  <cols>
    <col min="1" max="6" width="10.7109375" style="12" customWidth="1"/>
    <col min="7" max="10" width="20.7109375" style="12" customWidth="1"/>
    <col min="11" max="16384" width="11.5703125" style="12"/>
  </cols>
  <sheetData>
    <row r="1" spans="1:10" ht="40.15" customHeight="1">
      <c r="A1" s="4" t="s">
        <v>59</v>
      </c>
      <c r="B1" s="5">
        <v>254</v>
      </c>
      <c r="C1" s="6" t="s">
        <v>60</v>
      </c>
      <c r="D1" s="7" t="s">
        <v>31</v>
      </c>
      <c r="E1" s="8"/>
      <c r="F1" s="9"/>
      <c r="G1" s="6" t="s">
        <v>61</v>
      </c>
      <c r="H1" s="10" t="s">
        <v>54</v>
      </c>
      <c r="I1" s="6" t="s">
        <v>62</v>
      </c>
      <c r="J1" s="11" t="s">
        <v>7</v>
      </c>
    </row>
    <row r="2" spans="1:10" ht="40.15" customHeight="1">
      <c r="A2" s="13"/>
      <c r="B2" s="14"/>
      <c r="C2" s="15"/>
      <c r="D2" s="15"/>
      <c r="E2" s="15"/>
      <c r="F2" s="15"/>
      <c r="G2" s="15"/>
      <c r="H2" s="15"/>
      <c r="I2" s="15"/>
      <c r="J2" s="16"/>
    </row>
    <row r="3" spans="1:10">
      <c r="A3" s="45" t="s">
        <v>63</v>
      </c>
      <c r="B3" s="46"/>
      <c r="C3" s="46"/>
      <c r="D3" s="46"/>
      <c r="E3" s="46"/>
      <c r="F3" s="46"/>
      <c r="G3" s="46"/>
      <c r="H3" s="46"/>
      <c r="I3" s="46"/>
      <c r="J3" s="47"/>
    </row>
    <row r="4" spans="1:10" ht="76.900000000000006" customHeight="1" thickBot="1">
      <c r="A4" s="48" t="s">
        <v>64</v>
      </c>
      <c r="B4" s="49"/>
      <c r="C4" s="49"/>
      <c r="D4" s="49"/>
      <c r="E4" s="49"/>
      <c r="F4" s="49"/>
      <c r="G4" s="49"/>
      <c r="H4" s="49"/>
      <c r="I4" s="49"/>
      <c r="J4" s="50"/>
    </row>
    <row r="5" spans="1:10" ht="15" customHeight="1" thickTop="1">
      <c r="A5" s="17" t="s">
        <v>65</v>
      </c>
      <c r="B5" s="18"/>
      <c r="C5" s="18"/>
      <c r="D5" s="18"/>
      <c r="E5" s="18"/>
      <c r="F5" s="18"/>
      <c r="G5" s="18"/>
      <c r="H5" s="18"/>
      <c r="I5" s="18"/>
      <c r="J5" s="19"/>
    </row>
    <row r="6" spans="1:10" ht="15" customHeight="1">
      <c r="A6" s="39" t="s">
        <v>66</v>
      </c>
      <c r="B6" s="40"/>
      <c r="C6" s="40"/>
      <c r="D6" s="40"/>
      <c r="E6" s="40"/>
      <c r="F6" s="41"/>
      <c r="G6" s="20" t="s">
        <v>67</v>
      </c>
      <c r="H6" s="21" t="s">
        <v>68</v>
      </c>
      <c r="I6" s="22" t="s">
        <v>69</v>
      </c>
      <c r="J6" s="23" t="s">
        <v>70</v>
      </c>
    </row>
    <row r="7" spans="1:10" ht="15" customHeight="1">
      <c r="A7" s="42"/>
      <c r="B7" s="43"/>
      <c r="C7" s="43"/>
      <c r="D7" s="43"/>
      <c r="E7" s="43"/>
      <c r="F7" s="44"/>
      <c r="G7" s="24">
        <v>12</v>
      </c>
      <c r="H7" s="24">
        <v>2</v>
      </c>
      <c r="I7" s="24">
        <v>0</v>
      </c>
      <c r="J7" s="25">
        <v>0</v>
      </c>
    </row>
    <row r="8" spans="1:10" ht="15" customHeight="1">
      <c r="A8" s="39" t="s">
        <v>71</v>
      </c>
      <c r="B8" s="40"/>
      <c r="C8" s="40"/>
      <c r="D8" s="40"/>
      <c r="E8" s="40"/>
      <c r="F8" s="41"/>
      <c r="G8" s="20" t="s">
        <v>72</v>
      </c>
      <c r="H8" s="21" t="s">
        <v>73</v>
      </c>
      <c r="I8" s="22" t="s">
        <v>74</v>
      </c>
      <c r="J8" s="23" t="s">
        <v>75</v>
      </c>
    </row>
    <row r="9" spans="1:10" ht="15" customHeight="1">
      <c r="A9" s="42"/>
      <c r="B9" s="43"/>
      <c r="C9" s="43"/>
      <c r="D9" s="43"/>
      <c r="E9" s="43"/>
      <c r="F9" s="44"/>
      <c r="G9" s="24">
        <v>3</v>
      </c>
      <c r="H9" s="24">
        <v>11</v>
      </c>
      <c r="I9" s="24">
        <v>0</v>
      </c>
      <c r="J9" s="25">
        <v>0</v>
      </c>
    </row>
    <row r="10" spans="1:10" ht="15" customHeight="1">
      <c r="A10" s="39" t="s">
        <v>76</v>
      </c>
      <c r="B10" s="40"/>
      <c r="C10" s="40"/>
      <c r="D10" s="40"/>
      <c r="E10" s="40"/>
      <c r="F10" s="41"/>
      <c r="G10" s="20" t="s">
        <v>77</v>
      </c>
      <c r="H10" s="21" t="s">
        <v>78</v>
      </c>
      <c r="I10" s="22" t="s">
        <v>79</v>
      </c>
      <c r="J10" s="23" t="s">
        <v>80</v>
      </c>
    </row>
    <row r="11" spans="1:10" ht="15" customHeight="1">
      <c r="A11" s="42"/>
      <c r="B11" s="43"/>
      <c r="C11" s="43"/>
      <c r="D11" s="43"/>
      <c r="E11" s="43"/>
      <c r="F11" s="44"/>
      <c r="G11" s="24">
        <v>5</v>
      </c>
      <c r="H11" s="24">
        <v>7</v>
      </c>
      <c r="I11" s="24">
        <v>1</v>
      </c>
      <c r="J11" s="25">
        <v>1</v>
      </c>
    </row>
    <row r="12" spans="1:10" ht="15" customHeight="1">
      <c r="A12" s="39" t="s">
        <v>81</v>
      </c>
      <c r="B12" s="40"/>
      <c r="C12" s="40"/>
      <c r="D12" s="40"/>
      <c r="E12" s="40"/>
      <c r="F12" s="41"/>
      <c r="G12" s="20" t="s">
        <v>82</v>
      </c>
      <c r="H12" s="21" t="s">
        <v>83</v>
      </c>
      <c r="I12" s="22" t="s">
        <v>84</v>
      </c>
      <c r="J12" s="23" t="s">
        <v>85</v>
      </c>
    </row>
    <row r="13" spans="1:10" ht="15" customHeight="1">
      <c r="A13" s="42"/>
      <c r="B13" s="43"/>
      <c r="C13" s="43"/>
      <c r="D13" s="43"/>
      <c r="E13" s="43"/>
      <c r="F13" s="44"/>
      <c r="G13" s="24">
        <v>8</v>
      </c>
      <c r="H13" s="24">
        <v>3</v>
      </c>
      <c r="I13" s="24">
        <v>0</v>
      </c>
      <c r="J13" s="25">
        <v>2</v>
      </c>
    </row>
    <row r="14" spans="1:10" ht="60" customHeight="1">
      <c r="A14" s="26" t="s">
        <v>86</v>
      </c>
      <c r="B14" s="27"/>
      <c r="C14" s="27"/>
      <c r="D14" s="27"/>
      <c r="E14" s="27"/>
      <c r="F14" s="28"/>
      <c r="G14" s="51"/>
      <c r="H14" s="52"/>
      <c r="I14" s="52"/>
      <c r="J14" s="53"/>
    </row>
    <row r="15" spans="1:10" ht="10.15" customHeight="1">
      <c r="A15" s="54"/>
      <c r="B15" s="55"/>
      <c r="C15" s="55"/>
      <c r="D15" s="55"/>
      <c r="E15" s="55"/>
      <c r="F15" s="55"/>
      <c r="G15" s="55"/>
      <c r="H15" s="55"/>
      <c r="I15" s="55"/>
      <c r="J15" s="56"/>
    </row>
    <row r="16" spans="1:10" ht="15" customHeight="1">
      <c r="A16" s="17" t="s">
        <v>87</v>
      </c>
      <c r="B16" s="18"/>
      <c r="C16" s="18"/>
      <c r="D16" s="18"/>
      <c r="E16" s="18"/>
      <c r="F16" s="18"/>
      <c r="G16" s="18"/>
      <c r="H16" s="18"/>
      <c r="I16" s="18"/>
      <c r="J16" s="19"/>
    </row>
    <row r="17" spans="1:10" ht="15" customHeight="1">
      <c r="A17" s="39" t="s">
        <v>88</v>
      </c>
      <c r="B17" s="40"/>
      <c r="C17" s="40"/>
      <c r="D17" s="40"/>
      <c r="E17" s="40"/>
      <c r="F17" s="41"/>
      <c r="G17" s="20" t="s">
        <v>89</v>
      </c>
      <c r="H17" s="21" t="s">
        <v>90</v>
      </c>
      <c r="I17" s="22" t="s">
        <v>91</v>
      </c>
      <c r="J17" s="23" t="s">
        <v>70</v>
      </c>
    </row>
    <row r="18" spans="1:10" ht="15" customHeight="1">
      <c r="A18" s="42"/>
      <c r="B18" s="43"/>
      <c r="C18" s="43"/>
      <c r="D18" s="43"/>
      <c r="E18" s="43"/>
      <c r="F18" s="44"/>
      <c r="G18" s="24">
        <v>8</v>
      </c>
      <c r="H18" s="24">
        <v>5</v>
      </c>
      <c r="I18" s="24">
        <v>1</v>
      </c>
      <c r="J18" s="25">
        <v>0</v>
      </c>
    </row>
    <row r="19" spans="1:10" ht="15" customHeight="1">
      <c r="A19" s="39" t="s">
        <v>92</v>
      </c>
      <c r="B19" s="40"/>
      <c r="C19" s="40"/>
      <c r="D19" s="40"/>
      <c r="E19" s="40"/>
      <c r="F19" s="41"/>
      <c r="G19" s="20" t="s">
        <v>93</v>
      </c>
      <c r="H19" s="21" t="s">
        <v>94</v>
      </c>
      <c r="I19" s="22" t="s">
        <v>95</v>
      </c>
      <c r="J19" s="23" t="s">
        <v>96</v>
      </c>
    </row>
    <row r="20" spans="1:10" ht="15" customHeight="1">
      <c r="A20" s="42"/>
      <c r="B20" s="43"/>
      <c r="C20" s="43"/>
      <c r="D20" s="43"/>
      <c r="E20" s="43"/>
      <c r="F20" s="44"/>
      <c r="G20" s="24">
        <v>7</v>
      </c>
      <c r="H20" s="24">
        <v>6</v>
      </c>
      <c r="I20" s="24">
        <v>1</v>
      </c>
      <c r="J20" s="25">
        <v>0</v>
      </c>
    </row>
    <row r="21" spans="1:10" ht="15" customHeight="1">
      <c r="A21" s="39" t="s">
        <v>97</v>
      </c>
      <c r="B21" s="40"/>
      <c r="C21" s="40"/>
      <c r="D21" s="40"/>
      <c r="E21" s="40"/>
      <c r="F21" s="41"/>
      <c r="G21" s="20" t="s">
        <v>98</v>
      </c>
      <c r="H21" s="21" t="s">
        <v>99</v>
      </c>
      <c r="I21" s="22" t="s">
        <v>100</v>
      </c>
      <c r="J21" s="23" t="s">
        <v>101</v>
      </c>
    </row>
    <row r="22" spans="1:10" ht="15" customHeight="1">
      <c r="A22" s="42"/>
      <c r="B22" s="43"/>
      <c r="C22" s="43"/>
      <c r="D22" s="43"/>
      <c r="E22" s="43"/>
      <c r="F22" s="44"/>
      <c r="G22" s="24">
        <v>9</v>
      </c>
      <c r="H22" s="24">
        <v>3</v>
      </c>
      <c r="I22" s="24">
        <v>2</v>
      </c>
      <c r="J22" s="25">
        <v>0</v>
      </c>
    </row>
    <row r="23" spans="1:10" ht="15" customHeight="1">
      <c r="A23" s="39" t="s">
        <v>102</v>
      </c>
      <c r="B23" s="40"/>
      <c r="C23" s="40"/>
      <c r="D23" s="40"/>
      <c r="E23" s="40"/>
      <c r="F23" s="41"/>
      <c r="G23" s="20" t="s">
        <v>103</v>
      </c>
      <c r="H23" s="21" t="s">
        <v>104</v>
      </c>
      <c r="I23" s="22" t="s">
        <v>105</v>
      </c>
      <c r="J23" s="23" t="s">
        <v>106</v>
      </c>
    </row>
    <row r="24" spans="1:10" ht="15" customHeight="1">
      <c r="A24" s="42"/>
      <c r="B24" s="43"/>
      <c r="C24" s="43"/>
      <c r="D24" s="43"/>
      <c r="E24" s="43"/>
      <c r="F24" s="44"/>
      <c r="G24" s="24">
        <v>12</v>
      </c>
      <c r="H24" s="24">
        <v>2</v>
      </c>
      <c r="I24" s="24">
        <v>0</v>
      </c>
      <c r="J24" s="25">
        <v>0</v>
      </c>
    </row>
    <row r="25" spans="1:10" ht="15" customHeight="1">
      <c r="A25" s="39" t="s">
        <v>107</v>
      </c>
      <c r="B25" s="40"/>
      <c r="C25" s="40"/>
      <c r="D25" s="40"/>
      <c r="E25" s="40"/>
      <c r="F25" s="41"/>
      <c r="G25" s="20" t="s">
        <v>108</v>
      </c>
      <c r="H25" s="21" t="s">
        <v>109</v>
      </c>
      <c r="I25" s="22" t="s">
        <v>110</v>
      </c>
      <c r="J25" s="23" t="s">
        <v>111</v>
      </c>
    </row>
    <row r="26" spans="1:10" ht="15" customHeight="1">
      <c r="A26" s="42"/>
      <c r="B26" s="43"/>
      <c r="C26" s="43"/>
      <c r="D26" s="43"/>
      <c r="E26" s="43"/>
      <c r="F26" s="44"/>
      <c r="G26" s="24">
        <v>7</v>
      </c>
      <c r="H26" s="24">
        <v>6</v>
      </c>
      <c r="I26" s="24">
        <v>0</v>
      </c>
      <c r="J26" s="25">
        <v>1</v>
      </c>
    </row>
    <row r="27" spans="1:10" ht="15" customHeight="1">
      <c r="A27" s="39" t="s">
        <v>112</v>
      </c>
      <c r="B27" s="40"/>
      <c r="C27" s="40"/>
      <c r="D27" s="40"/>
      <c r="E27" s="40"/>
      <c r="F27" s="41"/>
      <c r="G27" s="20" t="s">
        <v>113</v>
      </c>
      <c r="H27" s="21" t="s">
        <v>114</v>
      </c>
      <c r="I27" s="22" t="s">
        <v>115</v>
      </c>
      <c r="J27" s="23" t="s">
        <v>111</v>
      </c>
    </row>
    <row r="28" spans="1:10" ht="15" customHeight="1">
      <c r="A28" s="42"/>
      <c r="B28" s="43"/>
      <c r="C28" s="43"/>
      <c r="D28" s="43"/>
      <c r="E28" s="43"/>
      <c r="F28" s="44"/>
      <c r="G28" s="24">
        <v>10</v>
      </c>
      <c r="H28" s="24">
        <v>4</v>
      </c>
      <c r="I28" s="24">
        <v>0</v>
      </c>
      <c r="J28" s="25">
        <v>0</v>
      </c>
    </row>
    <row r="29" spans="1:10" ht="60" customHeight="1">
      <c r="A29" s="26" t="s">
        <v>116</v>
      </c>
      <c r="B29" s="27"/>
      <c r="C29" s="27"/>
      <c r="D29" s="27"/>
      <c r="E29" s="27"/>
      <c r="F29" s="28"/>
      <c r="G29" s="51"/>
      <c r="H29" s="52"/>
      <c r="I29" s="52"/>
      <c r="J29" s="53"/>
    </row>
    <row r="30" spans="1:10" ht="10.15" customHeight="1">
      <c r="A30" s="54"/>
      <c r="B30" s="55"/>
      <c r="C30" s="55"/>
      <c r="D30" s="55"/>
      <c r="E30" s="55"/>
      <c r="F30" s="55"/>
      <c r="G30" s="55"/>
      <c r="H30" s="55"/>
      <c r="I30" s="55"/>
      <c r="J30" s="56"/>
    </row>
    <row r="31" spans="1:10" ht="15" customHeight="1">
      <c r="A31" s="17" t="s">
        <v>117</v>
      </c>
      <c r="B31" s="18"/>
      <c r="C31" s="18"/>
      <c r="D31" s="18"/>
      <c r="E31" s="18"/>
      <c r="F31" s="18"/>
      <c r="G31" s="18"/>
      <c r="H31" s="18"/>
      <c r="I31" s="18"/>
      <c r="J31" s="19"/>
    </row>
    <row r="32" spans="1:10" ht="15" customHeight="1">
      <c r="A32" s="39" t="s">
        <v>118</v>
      </c>
      <c r="B32" s="40"/>
      <c r="C32" s="40"/>
      <c r="D32" s="40"/>
      <c r="E32" s="40"/>
      <c r="F32" s="41"/>
      <c r="G32" s="20" t="s">
        <v>119</v>
      </c>
      <c r="H32" s="21" t="s">
        <v>120</v>
      </c>
      <c r="I32" s="22" t="s">
        <v>121</v>
      </c>
      <c r="J32" s="23" t="s">
        <v>70</v>
      </c>
    </row>
    <row r="33" spans="1:10" ht="15" customHeight="1">
      <c r="A33" s="42"/>
      <c r="B33" s="43"/>
      <c r="C33" s="43"/>
      <c r="D33" s="43"/>
      <c r="E33" s="43"/>
      <c r="F33" s="44"/>
      <c r="G33" s="24">
        <v>12</v>
      </c>
      <c r="H33" s="24">
        <v>1</v>
      </c>
      <c r="I33" s="24">
        <v>0</v>
      </c>
      <c r="J33" s="25">
        <v>0</v>
      </c>
    </row>
    <row r="34" spans="1:10" ht="15" customHeight="1">
      <c r="A34" s="39" t="s">
        <v>122</v>
      </c>
      <c r="B34" s="40"/>
      <c r="C34" s="40"/>
      <c r="D34" s="40"/>
      <c r="E34" s="40"/>
      <c r="F34" s="41"/>
      <c r="G34" s="20" t="s">
        <v>89</v>
      </c>
      <c r="H34" s="21" t="s">
        <v>123</v>
      </c>
      <c r="I34" s="22" t="s">
        <v>124</v>
      </c>
      <c r="J34" s="23" t="s">
        <v>125</v>
      </c>
    </row>
    <row r="35" spans="1:10" ht="15" customHeight="1">
      <c r="A35" s="42"/>
      <c r="B35" s="43"/>
      <c r="C35" s="43"/>
      <c r="D35" s="43"/>
      <c r="E35" s="43"/>
      <c r="F35" s="44"/>
      <c r="G35" s="24">
        <v>4</v>
      </c>
      <c r="H35" s="24">
        <v>8</v>
      </c>
      <c r="I35" s="24">
        <v>0</v>
      </c>
      <c r="J35" s="25">
        <v>1</v>
      </c>
    </row>
    <row r="36" spans="1:10" ht="15" customHeight="1">
      <c r="A36" s="39" t="s">
        <v>126</v>
      </c>
      <c r="B36" s="40"/>
      <c r="C36" s="40"/>
      <c r="D36" s="40"/>
      <c r="E36" s="40"/>
      <c r="F36" s="41"/>
      <c r="G36" s="20" t="s">
        <v>127</v>
      </c>
      <c r="H36" s="21" t="s">
        <v>128</v>
      </c>
      <c r="I36" s="22" t="s">
        <v>129</v>
      </c>
      <c r="J36" s="23" t="s">
        <v>130</v>
      </c>
    </row>
    <row r="37" spans="1:10" ht="15" customHeight="1">
      <c r="A37" s="42"/>
      <c r="B37" s="43"/>
      <c r="C37" s="43"/>
      <c r="D37" s="43"/>
      <c r="E37" s="43"/>
      <c r="F37" s="44"/>
      <c r="G37" s="24">
        <v>11</v>
      </c>
      <c r="H37" s="24">
        <v>1</v>
      </c>
      <c r="I37" s="24">
        <v>1</v>
      </c>
      <c r="J37" s="25">
        <v>0</v>
      </c>
    </row>
    <row r="38" spans="1:10" ht="15" customHeight="1">
      <c r="A38" s="39" t="s">
        <v>131</v>
      </c>
      <c r="B38" s="40"/>
      <c r="C38" s="40"/>
      <c r="D38" s="40"/>
      <c r="E38" s="40"/>
      <c r="F38" s="41"/>
      <c r="G38" s="20" t="s">
        <v>89</v>
      </c>
      <c r="H38" s="21" t="s">
        <v>90</v>
      </c>
      <c r="I38" s="22" t="s">
        <v>132</v>
      </c>
      <c r="J38" s="23" t="s">
        <v>133</v>
      </c>
    </row>
    <row r="39" spans="1:10" ht="15" customHeight="1">
      <c r="A39" s="42"/>
      <c r="B39" s="43"/>
      <c r="C39" s="43"/>
      <c r="D39" s="43"/>
      <c r="E39" s="43"/>
      <c r="F39" s="44"/>
      <c r="G39" s="24">
        <v>10</v>
      </c>
      <c r="H39" s="24">
        <v>3</v>
      </c>
      <c r="I39" s="24">
        <v>0</v>
      </c>
      <c r="J39" s="25">
        <v>0</v>
      </c>
    </row>
    <row r="40" spans="1:10" ht="60" customHeight="1">
      <c r="A40" s="26" t="s">
        <v>134</v>
      </c>
      <c r="B40" s="27"/>
      <c r="C40" s="27"/>
      <c r="D40" s="27"/>
      <c r="E40" s="27"/>
      <c r="F40" s="28"/>
      <c r="G40" s="51"/>
      <c r="H40" s="52"/>
      <c r="I40" s="52"/>
      <c r="J40" s="53"/>
    </row>
    <row r="41" spans="1:10" ht="10.15" customHeight="1">
      <c r="A41" s="54"/>
      <c r="B41" s="55"/>
      <c r="C41" s="55"/>
      <c r="D41" s="55"/>
      <c r="E41" s="55"/>
      <c r="F41" s="55"/>
      <c r="G41" s="55"/>
      <c r="H41" s="55"/>
      <c r="I41" s="55"/>
      <c r="J41" s="56"/>
    </row>
    <row r="42" spans="1:10" ht="15" customHeight="1">
      <c r="A42" s="17" t="s">
        <v>135</v>
      </c>
      <c r="B42" s="18"/>
      <c r="C42" s="18"/>
      <c r="D42" s="18"/>
      <c r="E42" s="18"/>
      <c r="F42" s="18"/>
      <c r="G42" s="18"/>
      <c r="H42" s="18"/>
      <c r="I42" s="18"/>
      <c r="J42" s="19"/>
    </row>
    <row r="43" spans="1:10" ht="15" customHeight="1">
      <c r="A43" s="39" t="s">
        <v>136</v>
      </c>
      <c r="B43" s="40"/>
      <c r="C43" s="40"/>
      <c r="D43" s="40"/>
      <c r="E43" s="40"/>
      <c r="F43" s="41"/>
      <c r="G43" s="20" t="s">
        <v>137</v>
      </c>
      <c r="H43" s="21" t="s">
        <v>138</v>
      </c>
      <c r="I43" s="22" t="s">
        <v>139</v>
      </c>
      <c r="J43" s="23" t="s">
        <v>140</v>
      </c>
    </row>
    <row r="44" spans="1:10" ht="15" customHeight="1">
      <c r="A44" s="42"/>
      <c r="B44" s="43"/>
      <c r="C44" s="43"/>
      <c r="D44" s="43"/>
      <c r="E44" s="43"/>
      <c r="F44" s="44"/>
      <c r="G44" s="24">
        <v>9</v>
      </c>
      <c r="H44" s="24">
        <v>5</v>
      </c>
      <c r="I44" s="24">
        <v>0</v>
      </c>
      <c r="J44" s="25">
        <v>0</v>
      </c>
    </row>
    <row r="45" spans="1:10" ht="15" customHeight="1">
      <c r="A45" s="39" t="s">
        <v>141</v>
      </c>
      <c r="B45" s="40"/>
      <c r="C45" s="40"/>
      <c r="D45" s="40"/>
      <c r="E45" s="40"/>
      <c r="F45" s="41"/>
      <c r="G45" s="20" t="s">
        <v>142</v>
      </c>
      <c r="H45" s="21" t="s">
        <v>143</v>
      </c>
      <c r="I45" s="22" t="s">
        <v>144</v>
      </c>
      <c r="J45" s="23" t="s">
        <v>145</v>
      </c>
    </row>
    <row r="46" spans="1:10" ht="15" customHeight="1">
      <c r="A46" s="42"/>
      <c r="B46" s="43"/>
      <c r="C46" s="43"/>
      <c r="D46" s="43"/>
      <c r="E46" s="43"/>
      <c r="F46" s="44"/>
      <c r="G46" s="24">
        <v>9</v>
      </c>
      <c r="H46" s="24">
        <v>5</v>
      </c>
      <c r="I46" s="24">
        <v>0</v>
      </c>
      <c r="J46" s="25">
        <v>0</v>
      </c>
    </row>
    <row r="47" spans="1:10" ht="15" customHeight="1">
      <c r="A47" s="39" t="s">
        <v>146</v>
      </c>
      <c r="B47" s="40"/>
      <c r="C47" s="40"/>
      <c r="D47" s="40"/>
      <c r="E47" s="40"/>
      <c r="F47" s="41"/>
      <c r="G47" s="20" t="s">
        <v>147</v>
      </c>
      <c r="H47" s="21" t="s">
        <v>138</v>
      </c>
      <c r="I47" s="22" t="s">
        <v>148</v>
      </c>
      <c r="J47" s="23" t="s">
        <v>140</v>
      </c>
    </row>
    <row r="48" spans="1:10" ht="15" customHeight="1">
      <c r="A48" s="42"/>
      <c r="B48" s="43"/>
      <c r="C48" s="43"/>
      <c r="D48" s="43"/>
      <c r="E48" s="43"/>
      <c r="F48" s="44"/>
      <c r="G48" s="24">
        <v>8</v>
      </c>
      <c r="H48" s="24">
        <v>6</v>
      </c>
      <c r="I48" s="24">
        <v>0</v>
      </c>
      <c r="J48" s="25">
        <v>0</v>
      </c>
    </row>
    <row r="49" spans="1:10" ht="60" customHeight="1" thickBot="1">
      <c r="A49" s="29" t="s">
        <v>149</v>
      </c>
      <c r="B49" s="30"/>
      <c r="C49" s="30"/>
      <c r="D49" s="30"/>
      <c r="E49" s="30"/>
      <c r="F49" s="31"/>
      <c r="G49" s="57"/>
      <c r="H49" s="58"/>
      <c r="I49" s="58"/>
      <c r="J49" s="59"/>
    </row>
    <row r="57" spans="1:10" ht="15" customHeight="1"/>
  </sheetData>
  <sheetProtection selectLockedCells="1"/>
  <dataConsolidate/>
  <mergeCells count="26">
    <mergeCell ref="A47:F48"/>
    <mergeCell ref="G49:J49"/>
    <mergeCell ref="A36:F37"/>
    <mergeCell ref="A38:F39"/>
    <mergeCell ref="G40:J40"/>
    <mergeCell ref="A41:J41"/>
    <mergeCell ref="A43:F44"/>
    <mergeCell ref="A45:F46"/>
    <mergeCell ref="A34:F35"/>
    <mergeCell ref="G14:J14"/>
    <mergeCell ref="A15:J15"/>
    <mergeCell ref="A17:F18"/>
    <mergeCell ref="A19:F20"/>
    <mergeCell ref="A21:F22"/>
    <mergeCell ref="A23:F24"/>
    <mergeCell ref="A25:F26"/>
    <mergeCell ref="A27:F28"/>
    <mergeCell ref="G29:J29"/>
    <mergeCell ref="A30:J30"/>
    <mergeCell ref="A32:F33"/>
    <mergeCell ref="A12:F13"/>
    <mergeCell ref="A3:J3"/>
    <mergeCell ref="A4:J4"/>
    <mergeCell ref="A6:F7"/>
    <mergeCell ref="A8:F9"/>
    <mergeCell ref="A10:F11"/>
  </mergeCells>
  <dataValidations count="3">
    <dataValidation type="list" allowBlank="1" showInputMessage="1" showErrorMessage="1" sqref="H1" xr:uid="{00000000-0002-0000-0100-000000000000}">
      <formula1>PROFS</formula1>
    </dataValidation>
    <dataValidation type="list" allowBlank="1" showInputMessage="1" showErrorMessage="1" sqref="D1" xr:uid="{00000000-0002-0000-0100-000001000000}">
      <formula1>CLASSES</formula1>
    </dataValidation>
    <dataValidation type="list" allowBlank="1" showInputMessage="1" showErrorMessage="1" sqref="J1" xr:uid="{00000000-0002-0000-0100-000002000000}">
      <formula1>ANNEES</formula1>
    </dataValidation>
  </dataValidations>
  <printOptions horizontalCentered="1" verticalCentered="1"/>
  <pageMargins left="0.78740157480314965" right="0.78740157480314965" top="0.78740157480314965" bottom="0.78740157480314965" header="0.51181102362204722" footer="0.51181102362204722"/>
  <pageSetup paperSize="9" scale="59" orientation="portrait" r:id="rId1"/>
  <headerFooter alignWithMargins="0">
    <oddHeader>&amp;L&amp;"ETML,Normal"&amp;18ETML&amp;C&amp;16Appréciation d'élève sur la prestation d'une formation suivie&amp;R&amp;G</oddHeader>
    <oddFooter>&amp;L&amp;14 13 mai 2009 - ETML&amp;C&amp;14&amp;F - &amp;A&amp;R&amp;14&amp;P/&amp;N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2050" r:id="rId5" name="BtnRapatriement">
          <controlPr defaultSize="0" autoLine="0" r:id="rId6">
            <anchor moveWithCells="1">
              <from>
                <xdr:col>11</xdr:col>
                <xdr:colOff>495300</xdr:colOff>
                <xdr:row>0</xdr:row>
                <xdr:rowOff>219075</xdr:rowOff>
              </from>
              <to>
                <xdr:col>14</xdr:col>
                <xdr:colOff>28575</xdr:colOff>
                <xdr:row>1</xdr:row>
                <xdr:rowOff>495300</xdr:rowOff>
              </to>
            </anchor>
          </controlPr>
        </control>
      </mc:Choice>
      <mc:Fallback>
        <control shapeId="2050" r:id="rId5" name="BtnRapatriemen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3000000}">
          <x14:formula1>
            <xm:f>Metadonnees!$A$2:$A$60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60"/>
  <sheetViews>
    <sheetView topLeftCell="A5" zoomScale="160" zoomScaleNormal="160" workbookViewId="0">
      <selection activeCell="G24" sqref="G24"/>
    </sheetView>
  </sheetViews>
  <sheetFormatPr defaultColWidth="11.42578125" defaultRowHeight="12.75"/>
  <cols>
    <col min="1" max="1" width="130.28515625" customWidth="1"/>
    <col min="6" max="6" width="2.140625" customWidth="1"/>
    <col min="7" max="7" width="15.28515625" bestFit="1" customWidth="1"/>
    <col min="8" max="8" width="3.28515625" customWidth="1"/>
    <col min="10" max="10" width="4.85546875" customWidth="1"/>
    <col min="11" max="11" width="14.7109375" bestFit="1" customWidth="1"/>
    <col min="12" max="12" width="3.7109375" customWidth="1"/>
    <col min="13" max="13" width="16.7109375" bestFit="1" customWidth="1"/>
    <col min="14" max="14" width="4" customWidth="1"/>
  </cols>
  <sheetData>
    <row r="1" spans="1:1">
      <c r="A1" s="1" t="str">
        <f>Questionnaire!$A$5</f>
        <v>1. Questions sur les compétences et les objectifs visés, ainsi que sur les contenus</v>
      </c>
    </row>
    <row r="2" spans="1:1" ht="4.1500000000000004" customHeight="1"/>
    <row r="8" spans="1:1">
      <c r="A8" s="1"/>
    </row>
    <row r="33" spans="1:1">
      <c r="A33" s="1" t="s">
        <v>150</v>
      </c>
    </row>
    <row r="34" spans="1:1">
      <c r="A34" s="33" t="s">
        <v>151</v>
      </c>
    </row>
    <row r="35" spans="1:1">
      <c r="A35" s="34" t="s">
        <v>152</v>
      </c>
    </row>
    <row r="36" spans="1:1">
      <c r="A36" s="34"/>
    </row>
    <row r="37" spans="1:1">
      <c r="A37" s="34"/>
    </row>
    <row r="38" spans="1:1">
      <c r="A38" s="34"/>
    </row>
    <row r="39" spans="1:1">
      <c r="A39" s="34"/>
    </row>
    <row r="40" spans="1:1">
      <c r="A40" s="34"/>
    </row>
    <row r="41" spans="1:1">
      <c r="A41" s="34"/>
    </row>
    <row r="42" spans="1:1">
      <c r="A42" s="34"/>
    </row>
    <row r="43" spans="1:1">
      <c r="A43" s="34"/>
    </row>
    <row r="44" spans="1:1">
      <c r="A44" s="34"/>
    </row>
    <row r="45" spans="1:1">
      <c r="A45" s="34"/>
    </row>
    <row r="46" spans="1:1">
      <c r="A46" s="34"/>
    </row>
    <row r="47" spans="1:1">
      <c r="A47" s="34"/>
    </row>
    <row r="48" spans="1:1">
      <c r="A48" s="34"/>
    </row>
    <row r="49" spans="1:1">
      <c r="A49" s="34"/>
    </row>
    <row r="50" spans="1:1">
      <c r="A50" s="34"/>
    </row>
    <row r="51" spans="1:1">
      <c r="A51" s="34"/>
    </row>
    <row r="52" spans="1:1">
      <c r="A52" s="34"/>
    </row>
    <row r="53" spans="1:1">
      <c r="A53" s="34"/>
    </row>
    <row r="54" spans="1:1">
      <c r="A54" s="34"/>
    </row>
    <row r="55" spans="1:1">
      <c r="A55" s="34"/>
    </row>
    <row r="56" spans="1:1">
      <c r="A56" s="34"/>
    </row>
    <row r="57" spans="1:1">
      <c r="A57" s="34"/>
    </row>
    <row r="58" spans="1:1">
      <c r="A58" s="34"/>
    </row>
    <row r="59" spans="1:1">
      <c r="A59" s="34"/>
    </row>
    <row r="60" spans="1:1">
      <c r="A60" s="34"/>
    </row>
  </sheetData>
  <dataConsolidate/>
  <phoneticPr fontId="4" type="noConversion"/>
  <pageMargins left="0.78740157499999996" right="0.78740157499999996" top="0.984251969" bottom="0.984251969" header="0.4921259845" footer="0.4921259845"/>
  <pageSetup paperSize="9" orientation="landscape" horizontalDpi="4294967293" r:id="rId1"/>
  <headerFooter alignWithMargins="0">
    <oddHeader>&amp;L&amp;"ETML,Normal"&amp;12ETML&amp;"Arial,Normal"&amp;8 informatique</oddHeader>
    <oddFooter>&amp;L&amp;F&amp;C&amp;8&amp;P /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89"/>
  <sheetViews>
    <sheetView topLeftCell="A31" zoomScale="160" zoomScaleNormal="160" workbookViewId="0">
      <selection activeCell="A56" sqref="A56:A89"/>
    </sheetView>
  </sheetViews>
  <sheetFormatPr defaultColWidth="11.42578125" defaultRowHeight="12.75"/>
  <cols>
    <col min="1" max="1" width="130.28515625" customWidth="1"/>
    <col min="6" max="6" width="2.140625" customWidth="1"/>
    <col min="7" max="7" width="15.28515625" bestFit="1" customWidth="1"/>
    <col min="8" max="8" width="3.28515625" customWidth="1"/>
    <col min="10" max="10" width="4.85546875" customWidth="1"/>
    <col min="11" max="11" width="14.7109375" bestFit="1" customWidth="1"/>
    <col min="12" max="12" width="3.7109375" customWidth="1"/>
    <col min="13" max="13" width="16.7109375" bestFit="1" customWidth="1"/>
    <col min="14" max="14" width="4" customWidth="1"/>
  </cols>
  <sheetData>
    <row r="1" spans="1:1">
      <c r="A1" s="1" t="str">
        <f>Questionnaire!$A$16</f>
        <v>2. Questions sur les activités proposées et les supports fournis</v>
      </c>
    </row>
    <row r="2" spans="1:1" ht="4.1500000000000004" customHeight="1"/>
    <row r="8" spans="1:1">
      <c r="A8" s="1"/>
    </row>
    <row r="38" spans="1:1">
      <c r="A38" s="1" t="str">
        <f>Questionnaire!$A$16 &amp; "  (suite)"</f>
        <v>2. Questions sur les activités proposées et les supports fournis  (suite)</v>
      </c>
    </row>
    <row r="55" spans="1:1">
      <c r="A55" s="1" t="s">
        <v>150</v>
      </c>
    </row>
    <row r="56" spans="1:1">
      <c r="A56" s="33" t="s">
        <v>151</v>
      </c>
    </row>
    <row r="57" spans="1:1">
      <c r="A57" s="34" t="s">
        <v>153</v>
      </c>
    </row>
    <row r="58" spans="1:1">
      <c r="A58" s="34" t="s">
        <v>152</v>
      </c>
    </row>
    <row r="59" spans="1:1">
      <c r="A59" s="34"/>
    </row>
    <row r="60" spans="1:1">
      <c r="A60" s="34"/>
    </row>
    <row r="61" spans="1:1">
      <c r="A61" s="34"/>
    </row>
    <row r="62" spans="1:1">
      <c r="A62" s="34"/>
    </row>
    <row r="63" spans="1:1">
      <c r="A63" s="34"/>
    </row>
    <row r="64" spans="1:1">
      <c r="A64" s="34"/>
    </row>
    <row r="65" spans="1:1">
      <c r="A65" s="34"/>
    </row>
    <row r="66" spans="1:1">
      <c r="A66" s="34"/>
    </row>
    <row r="67" spans="1:1">
      <c r="A67" s="34"/>
    </row>
    <row r="68" spans="1:1">
      <c r="A68" s="34"/>
    </row>
    <row r="69" spans="1:1">
      <c r="A69" s="34"/>
    </row>
    <row r="70" spans="1:1">
      <c r="A70" s="34"/>
    </row>
    <row r="71" spans="1:1">
      <c r="A71" s="34"/>
    </row>
    <row r="72" spans="1:1">
      <c r="A72" s="34"/>
    </row>
    <row r="73" spans="1:1">
      <c r="A73" s="34"/>
    </row>
    <row r="74" spans="1:1">
      <c r="A74" s="34"/>
    </row>
    <row r="75" spans="1:1">
      <c r="A75" s="34"/>
    </row>
    <row r="76" spans="1:1">
      <c r="A76" s="34"/>
    </row>
    <row r="77" spans="1:1">
      <c r="A77" s="34"/>
    </row>
    <row r="78" spans="1:1">
      <c r="A78" s="34"/>
    </row>
    <row r="79" spans="1:1">
      <c r="A79" s="34"/>
    </row>
    <row r="80" spans="1:1">
      <c r="A80" s="34"/>
    </row>
    <row r="81" spans="1:1">
      <c r="A81" s="34"/>
    </row>
    <row r="82" spans="1:1">
      <c r="A82" s="34"/>
    </row>
    <row r="83" spans="1:1">
      <c r="A83" s="33"/>
    </row>
    <row r="84" spans="1:1">
      <c r="A84" s="34"/>
    </row>
    <row r="85" spans="1:1">
      <c r="A85" s="34"/>
    </row>
    <row r="86" spans="1:1">
      <c r="A86" s="34"/>
    </row>
    <row r="87" spans="1:1">
      <c r="A87" s="34"/>
    </row>
    <row r="88" spans="1:1">
      <c r="A88" s="34"/>
    </row>
    <row r="89" spans="1:1">
      <c r="A89" s="34"/>
    </row>
  </sheetData>
  <phoneticPr fontId="4" type="noConversion"/>
  <pageMargins left="0.78740157499999996" right="0.78740157499999996" top="0.984251969" bottom="0.984251969" header="0.4921259845" footer="0.4921259845"/>
  <pageSetup paperSize="9" orientation="landscape" horizontalDpi="4294967293" verticalDpi="0" r:id="rId1"/>
  <headerFooter alignWithMargins="0">
    <oddHeader>&amp;L&amp;"ETML,Normal"&amp;12ETML&amp;"Arial,Normal"&amp;8 informatique</oddHeader>
    <oddFooter>&amp;L&amp;F&amp;C&amp;8&amp;P /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80"/>
  <sheetViews>
    <sheetView topLeftCell="A16" zoomScale="160" zoomScaleNormal="160" workbookViewId="0">
      <selection activeCell="A37" sqref="A37:A80"/>
    </sheetView>
  </sheetViews>
  <sheetFormatPr defaultColWidth="11.42578125" defaultRowHeight="12.75"/>
  <cols>
    <col min="1" max="1" width="130.28515625" customWidth="1"/>
    <col min="6" max="6" width="2.140625" customWidth="1"/>
    <col min="7" max="7" width="15.28515625" bestFit="1" customWidth="1"/>
    <col min="8" max="8" width="3.28515625" customWidth="1"/>
    <col min="10" max="10" width="4.85546875" customWidth="1"/>
    <col min="11" max="11" width="14.7109375" bestFit="1" customWidth="1"/>
    <col min="12" max="12" width="3.7109375" customWidth="1"/>
    <col min="13" max="13" width="16.7109375" bestFit="1" customWidth="1"/>
    <col min="14" max="14" width="4" customWidth="1"/>
  </cols>
  <sheetData>
    <row r="1" spans="1:1">
      <c r="A1" s="1" t="str">
        <f>Questionnaire!$A$31</f>
        <v>3. Questions sur l'animation du cours</v>
      </c>
    </row>
    <row r="2" spans="1:1" ht="4.1500000000000004" customHeight="1"/>
    <row r="8" spans="1:1">
      <c r="A8" s="1"/>
    </row>
    <row r="19" spans="1:1">
      <c r="A19" s="1"/>
    </row>
    <row r="36" spans="1:1">
      <c r="A36" s="1" t="s">
        <v>150</v>
      </c>
    </row>
    <row r="37" spans="1:1">
      <c r="A37" s="34" t="s">
        <v>151</v>
      </c>
    </row>
    <row r="38" spans="1:1">
      <c r="A38" s="34" t="s">
        <v>154</v>
      </c>
    </row>
    <row r="39" spans="1:1">
      <c r="A39" s="34" t="s">
        <v>152</v>
      </c>
    </row>
    <row r="40" spans="1:1">
      <c r="A40" s="34" t="s">
        <v>155</v>
      </c>
    </row>
    <row r="41" spans="1:1">
      <c r="A41" s="34"/>
    </row>
    <row r="42" spans="1:1">
      <c r="A42" s="34"/>
    </row>
    <row r="43" spans="1:1">
      <c r="A43" s="34"/>
    </row>
    <row r="44" spans="1:1">
      <c r="A44" s="34"/>
    </row>
    <row r="45" spans="1:1">
      <c r="A45" s="34"/>
    </row>
    <row r="46" spans="1:1">
      <c r="A46" s="34"/>
    </row>
    <row r="47" spans="1:1">
      <c r="A47" s="34"/>
    </row>
    <row r="48" spans="1:1">
      <c r="A48" s="34"/>
    </row>
    <row r="49" spans="1:1">
      <c r="A49" s="34"/>
    </row>
    <row r="50" spans="1:1">
      <c r="A50" s="34"/>
    </row>
    <row r="51" spans="1:1">
      <c r="A51" s="34"/>
    </row>
    <row r="52" spans="1:1">
      <c r="A52" s="34"/>
    </row>
    <row r="53" spans="1:1">
      <c r="A53" s="34"/>
    </row>
    <row r="54" spans="1:1">
      <c r="A54" s="34"/>
    </row>
    <row r="55" spans="1:1">
      <c r="A55" s="34"/>
    </row>
    <row r="56" spans="1:1">
      <c r="A56" s="34"/>
    </row>
    <row r="57" spans="1:1">
      <c r="A57" s="34"/>
    </row>
    <row r="58" spans="1:1">
      <c r="A58" s="34"/>
    </row>
    <row r="59" spans="1:1">
      <c r="A59" s="34"/>
    </row>
    <row r="60" spans="1:1">
      <c r="A60" s="34"/>
    </row>
    <row r="61" spans="1:1">
      <c r="A61" s="34"/>
    </row>
    <row r="62" spans="1:1">
      <c r="A62" s="34"/>
    </row>
    <row r="63" spans="1:1">
      <c r="A63" s="34"/>
    </row>
    <row r="64" spans="1:1">
      <c r="A64" s="34"/>
    </row>
    <row r="65" spans="1:1">
      <c r="A65" s="34"/>
    </row>
    <row r="66" spans="1:1">
      <c r="A66" s="34"/>
    </row>
    <row r="67" spans="1:1">
      <c r="A67" s="34"/>
    </row>
    <row r="68" spans="1:1">
      <c r="A68" s="34"/>
    </row>
    <row r="69" spans="1:1">
      <c r="A69" s="34"/>
    </row>
    <row r="70" spans="1:1">
      <c r="A70" s="34"/>
    </row>
    <row r="71" spans="1:1">
      <c r="A71" s="34"/>
    </row>
    <row r="72" spans="1:1">
      <c r="A72" s="34"/>
    </row>
    <row r="73" spans="1:1">
      <c r="A73" s="34"/>
    </row>
    <row r="74" spans="1:1">
      <c r="A74" s="34"/>
    </row>
    <row r="75" spans="1:1">
      <c r="A75" s="34"/>
    </row>
    <row r="76" spans="1:1">
      <c r="A76" s="34"/>
    </row>
    <row r="77" spans="1:1">
      <c r="A77" s="34"/>
    </row>
    <row r="78" spans="1:1">
      <c r="A78" s="34"/>
    </row>
    <row r="79" spans="1:1">
      <c r="A79" s="34"/>
    </row>
    <row r="80" spans="1:1">
      <c r="A80" s="34"/>
    </row>
  </sheetData>
  <phoneticPr fontId="4" type="noConversion"/>
  <pageMargins left="0.78740157499999996" right="0.78740157499999996" top="0.984251969" bottom="0.984251969" header="0.4921259845" footer="0.4921259845"/>
  <pageSetup paperSize="9" orientation="landscape" horizontalDpi="4294967293" r:id="rId1"/>
  <headerFooter alignWithMargins="0">
    <oddHeader>&amp;L&amp;"ETML,Normal"&amp;12ETML&amp;"Arial,Normal"&amp;8 informatique</oddHeader>
    <oddFooter>&amp;L&amp;F&amp;C&amp;8&amp;P /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A61"/>
  <sheetViews>
    <sheetView tabSelected="1" zoomScale="130" zoomScaleNormal="130" workbookViewId="0">
      <selection activeCell="A34" sqref="A34:A61"/>
    </sheetView>
  </sheetViews>
  <sheetFormatPr defaultColWidth="11.42578125" defaultRowHeight="12.75"/>
  <cols>
    <col min="1" max="1" width="130.28515625" customWidth="1"/>
    <col min="6" max="6" width="2.140625" customWidth="1"/>
    <col min="7" max="7" width="15.28515625" bestFit="1" customWidth="1"/>
    <col min="8" max="8" width="3.28515625" customWidth="1"/>
    <col min="10" max="10" width="4.85546875" customWidth="1"/>
    <col min="11" max="11" width="14.7109375" bestFit="1" customWidth="1"/>
    <col min="12" max="12" width="3.7109375" customWidth="1"/>
    <col min="13" max="13" width="16.7109375" bestFit="1" customWidth="1"/>
    <col min="14" max="14" width="4" customWidth="1"/>
  </cols>
  <sheetData>
    <row r="1" spans="1:1">
      <c r="A1" s="1" t="str">
        <f>Questionnaire!$A$42</f>
        <v>4. Questions sur l'évaluation</v>
      </c>
    </row>
    <row r="2" spans="1:1" ht="4.1500000000000004" customHeight="1"/>
    <row r="8" spans="1:1">
      <c r="A8" s="1"/>
    </row>
    <row r="33" spans="1:1">
      <c r="A33" s="1" t="s">
        <v>150</v>
      </c>
    </row>
    <row r="34" spans="1:1">
      <c r="A34" s="34" t="s">
        <v>151</v>
      </c>
    </row>
    <row r="35" spans="1:1">
      <c r="A35" s="34" t="s">
        <v>156</v>
      </c>
    </row>
    <row r="36" spans="1:1">
      <c r="A36" s="34" t="s">
        <v>152</v>
      </c>
    </row>
    <row r="37" spans="1:1">
      <c r="A37" s="34"/>
    </row>
    <row r="38" spans="1:1">
      <c r="A38" s="34"/>
    </row>
    <row r="39" spans="1:1">
      <c r="A39" s="34"/>
    </row>
    <row r="40" spans="1:1">
      <c r="A40" s="34"/>
    </row>
    <row r="41" spans="1:1">
      <c r="A41" s="34"/>
    </row>
    <row r="42" spans="1:1">
      <c r="A42" s="34"/>
    </row>
    <row r="43" spans="1:1">
      <c r="A43" s="34"/>
    </row>
    <row r="44" spans="1:1">
      <c r="A44" s="34"/>
    </row>
    <row r="45" spans="1:1">
      <c r="A45" s="34"/>
    </row>
    <row r="46" spans="1:1">
      <c r="A46" s="34"/>
    </row>
    <row r="47" spans="1:1">
      <c r="A47" s="34"/>
    </row>
    <row r="48" spans="1:1">
      <c r="A48" s="34"/>
    </row>
    <row r="49" spans="1:1">
      <c r="A49" s="34"/>
    </row>
    <row r="50" spans="1:1">
      <c r="A50" s="34"/>
    </row>
    <row r="51" spans="1:1">
      <c r="A51" s="34"/>
    </row>
    <row r="52" spans="1:1">
      <c r="A52" s="34"/>
    </row>
    <row r="53" spans="1:1">
      <c r="A53" s="34"/>
    </row>
    <row r="54" spans="1:1">
      <c r="A54" s="34"/>
    </row>
    <row r="55" spans="1:1">
      <c r="A55" s="34"/>
    </row>
    <row r="56" spans="1:1">
      <c r="A56" s="34"/>
    </row>
    <row r="57" spans="1:1">
      <c r="A57" s="34"/>
    </row>
    <row r="58" spans="1:1">
      <c r="A58" s="34"/>
    </row>
    <row r="59" spans="1:1">
      <c r="A59" s="34"/>
    </row>
    <row r="60" spans="1:1">
      <c r="A60" s="34"/>
    </row>
    <row r="61" spans="1:1">
      <c r="A61" s="34"/>
    </row>
  </sheetData>
  <phoneticPr fontId="4" type="noConversion"/>
  <pageMargins left="0.78740157499999996" right="0.78740157499999996" top="0.984251969" bottom="0.984251969" header="0.4921259845" footer="0.4921259845"/>
  <pageSetup paperSize="9" orientation="landscape" horizontalDpi="4294967293" verticalDpi="0" r:id="rId1"/>
  <headerFooter alignWithMargins="0">
    <oddHeader>&amp;L&amp;"ETML,Normal"&amp;12ETML&amp;"Arial,Normal"&amp;8 informatique</oddHeader>
    <oddFooter>&amp;L&amp;F&amp;C&amp;8&amp;P /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/>
  <dimension ref="A1:C15"/>
  <sheetViews>
    <sheetView workbookViewId="0">
      <selection activeCell="C18" sqref="C18"/>
    </sheetView>
  </sheetViews>
  <sheetFormatPr defaultColWidth="11.42578125" defaultRowHeight="12.75"/>
  <cols>
    <col min="1" max="1" width="27.85546875" style="1" customWidth="1"/>
    <col min="2" max="2" width="39.5703125" style="2" customWidth="1"/>
    <col min="3" max="3" width="48.5703125" style="1" customWidth="1"/>
  </cols>
  <sheetData>
    <row r="1" spans="1:3">
      <c r="A1" s="1" t="s">
        <v>157</v>
      </c>
      <c r="B1" s="60" t="s">
        <v>158</v>
      </c>
    </row>
    <row r="2" spans="1:3">
      <c r="A2" s="1" t="s">
        <v>159</v>
      </c>
      <c r="B2" s="60" t="s">
        <v>160</v>
      </c>
      <c r="C2" s="3" t="s">
        <v>161</v>
      </c>
    </row>
    <row r="3" spans="1:3">
      <c r="A3" s="1" t="s">
        <v>162</v>
      </c>
      <c r="B3" s="60" t="s">
        <v>163</v>
      </c>
      <c r="C3" s="3" t="s">
        <v>161</v>
      </c>
    </row>
    <row r="4" spans="1:3">
      <c r="A4" s="1" t="s">
        <v>164</v>
      </c>
      <c r="B4" s="60" t="s">
        <v>165</v>
      </c>
      <c r="C4" s="3" t="s">
        <v>161</v>
      </c>
    </row>
    <row r="5" spans="1:3">
      <c r="A5" s="1" t="s">
        <v>166</v>
      </c>
      <c r="B5" s="60" t="s">
        <v>167</v>
      </c>
      <c r="C5" s="3" t="s">
        <v>161</v>
      </c>
    </row>
    <row r="6" spans="1:3">
      <c r="A6" s="1" t="s">
        <v>168</v>
      </c>
      <c r="B6" s="60" t="s">
        <v>169</v>
      </c>
      <c r="C6" s="3" t="s">
        <v>161</v>
      </c>
    </row>
    <row r="7" spans="1:3">
      <c r="A7" s="1" t="s">
        <v>170</v>
      </c>
      <c r="B7" s="60" t="s">
        <v>171</v>
      </c>
      <c r="C7" s="3" t="s">
        <v>161</v>
      </c>
    </row>
    <row r="8" spans="1:3">
      <c r="A8" s="1" t="s">
        <v>172</v>
      </c>
      <c r="B8" s="60" t="s">
        <v>173</v>
      </c>
      <c r="C8" s="3" t="s">
        <v>161</v>
      </c>
    </row>
    <row r="9" spans="1:3">
      <c r="A9" s="1" t="s">
        <v>174</v>
      </c>
      <c r="B9" s="60" t="s">
        <v>175</v>
      </c>
      <c r="C9" s="3" t="s">
        <v>161</v>
      </c>
    </row>
    <row r="10" spans="1:3">
      <c r="A10" s="1" t="s">
        <v>176</v>
      </c>
      <c r="B10" s="60" t="s">
        <v>177</v>
      </c>
      <c r="C10" s="3" t="s">
        <v>161</v>
      </c>
    </row>
    <row r="11" spans="1:3">
      <c r="A11" s="1" t="s">
        <v>178</v>
      </c>
      <c r="B11" s="60" t="s">
        <v>179</v>
      </c>
      <c r="C11" s="3" t="s">
        <v>161</v>
      </c>
    </row>
    <row r="12" spans="1:3">
      <c r="A12" s="1" t="s">
        <v>180</v>
      </c>
      <c r="B12" s="60" t="s">
        <v>181</v>
      </c>
      <c r="C12" s="3" t="s">
        <v>161</v>
      </c>
    </row>
    <row r="13" spans="1:3">
      <c r="A13" s="1" t="s">
        <v>182</v>
      </c>
      <c r="B13" s="60" t="s">
        <v>183</v>
      </c>
      <c r="C13" s="3" t="s">
        <v>161</v>
      </c>
    </row>
    <row r="14" spans="1:3">
      <c r="A14" s="1" t="s">
        <v>184</v>
      </c>
      <c r="B14" s="60" t="s">
        <v>185</v>
      </c>
      <c r="C14" s="3" t="s">
        <v>161</v>
      </c>
    </row>
    <row r="15" spans="1:3">
      <c r="A15" s="1" t="s">
        <v>186</v>
      </c>
      <c r="B15" s="60" t="s">
        <v>187</v>
      </c>
      <c r="C15" s="3" t="s">
        <v>161</v>
      </c>
    </row>
  </sheetData>
  <phoneticPr fontId="4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9" ma:contentTypeDescription="Crée un document." ma:contentTypeScope="" ma:versionID="f3418dd4ca302601ba73fa17965a3f2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5d82fd028d299635ce1df2d808d1b2ae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D62180AE-C691-429E-B69A-8870D3EC743F}"/>
</file>

<file path=customXml/itemProps2.xml><?xml version="1.0" encoding="utf-8"?>
<ds:datastoreItem xmlns:ds="http://schemas.openxmlformats.org/officeDocument/2006/customXml" ds:itemID="{DAACAD10-09B7-4C2B-B3C9-DC5F0453ED28}"/>
</file>

<file path=customXml/itemProps3.xml><?xml version="1.0" encoding="utf-8"?>
<ds:datastoreItem xmlns:ds="http://schemas.openxmlformats.org/officeDocument/2006/customXml" ds:itemID="{95AF62B8-9E83-44DA-9EF2-C3203DD7EBD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ETML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Julien Lagona</dc:creator>
  <cp:keywords/>
  <dc:description/>
  <cp:lastModifiedBy>Cédric Schaffter</cp:lastModifiedBy>
  <cp:revision/>
  <dcterms:created xsi:type="dcterms:W3CDTF">2001-11-08T08:38:43Z</dcterms:created>
  <dcterms:modified xsi:type="dcterms:W3CDTF">2024-02-20T10:08:22Z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6b383bdd-58c0-48e1-9606-d2443c0e64bf</vt:lpwstr>
  </property>
  <property fmtid="{D5CDD505-2E9C-101B-9397-08002B2CF9AE}" pid="3" name="ContentTypeId">
    <vt:lpwstr>0x0101001ABD9BFFC9E543439C53A2705AE306EF</vt:lpwstr>
  </property>
</Properties>
</file>