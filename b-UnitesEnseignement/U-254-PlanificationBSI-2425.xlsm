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8507" codeName="{00000000-0000-0000-0000-00000000000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eduvaud-my.sharepoint.com/personal/bertrand_sahli_eduvaud_ch/Documents/_HomeDir_BSI/AA Cours/I254/b-UnitesEnseignement/"/>
    </mc:Choice>
  </mc:AlternateContent>
  <xr:revisionPtr revIDLastSave="10" documentId="13_ncr:1_{1E63DC35-DE5E-4C97-823D-9D96D665E11C}" xr6:coauthVersionLast="47" xr6:coauthVersionMax="47" xr10:uidLastSave="{82ACCA62-E013-4854-BBA1-9A247C1D6CD8}"/>
  <bookViews>
    <workbookView xWindow="-120" yWindow="-120" windowWidth="29040" windowHeight="15990" firstSheet="2" activeTab="2" xr2:uid="{00000000-000D-0000-FFFF-FFFF00000000}"/>
  </bookViews>
  <sheets>
    <sheet name="Bilan" sheetId="1" r:id="rId1"/>
    <sheet name="Planning" sheetId="10" r:id="rId2"/>
    <sheet name="CID2B &amp; MID2B BSI" sheetId="12" r:id="rId3"/>
    <sheet name="Notes CID2B &amp; MID2B" sheetId="18" r:id="rId4"/>
  </sheets>
  <externalReferences>
    <externalReference r:id="rId5"/>
  </externalReferences>
  <definedNames>
    <definedName name="_5___">Planning!$C$50</definedName>
    <definedName name="DiagrammePlanifBas">Bilan!$D$29:$GM$29,Bilan!$D$31:$GM$31,Bilan!$D$33:$GM$33,Bilan!$D$35:$GM$35,Bilan!$D$37:$GM$37,Bilan!$D$39:$GM$39,Bilan!$D$41:$GM$41,Bilan!$D$43:$GM$43</definedName>
    <definedName name="DiagrammePlanifHaut">Bilan!$D$13:$GM$13,Bilan!$D$15:$GM$15,Bilan!$D$17:$GM$17,Bilan!$D$19:$GM$19,Bilan!$D$21:$GM$21,Bilan!$D$23:$GM$23,Bilan!$D$25:$GM$25,Bilan!$D$27:$GM$27</definedName>
    <definedName name="DiagrammeRealBas">Bilan!$D$30:$GM$30,Bilan!$D$32:$GM$32,Bilan!$D$34:$GM$34,Bilan!$D$36:$GM$36,Bilan!$D$38:$GM$38,Bilan!$D$40:$GM$40,Bilan!$D$42:$GM$42,Bilan!$D$44:$GM$44</definedName>
    <definedName name="DiagrammeRealHaut">Bilan!$D$14:$GM$14,Bilan!$D$16:$GM$16,Bilan!$D$18:$GM$18,Bilan!$D$20:$GM$20,Bilan!$D$22:$GM$22,Bilan!$E$24:$GM$24,Bilan!$D$24,Bilan!$D$26:$GM$26,Bilan!$D$28:$GM$28</definedName>
    <definedName name="fgh">[1]Bilan!$A$13:$A$28</definedName>
    <definedName name="ListeTaches">Bilan!$A$13:$A$28</definedName>
    <definedName name="LstTaches">Bilan!$B$13:$B$44</definedName>
    <definedName name="NBLecons">Bilan!$C$13:$C$44</definedName>
    <definedName name="TachesPlanifiees">Planning!$A$1:$A$212</definedName>
    <definedName name="TachesRealisees" localSheetId="2">'CID2B &amp; MID2B BSI'!$A$1:$A$129</definedName>
    <definedName name="_xlnm.Print_Area" localSheetId="2">'CID2B &amp; MID2B BSI'!$A:$D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87" i="12" l="1"/>
  <c r="E10" i="18"/>
  <c r="J10" i="18" s="1"/>
  <c r="F10" i="18"/>
  <c r="K10" i="18" s="1"/>
  <c r="L10" i="18" s="1"/>
  <c r="L19" i="18" s="1"/>
  <c r="E5" i="18"/>
  <c r="F5" i="18"/>
  <c r="K5" i="18"/>
  <c r="L5" i="18"/>
  <c r="E6" i="18"/>
  <c r="F6" i="18"/>
  <c r="K6" i="18"/>
  <c r="L6" i="18"/>
  <c r="E7" i="18"/>
  <c r="F7" i="18"/>
  <c r="K7" i="18"/>
  <c r="L7" i="18"/>
  <c r="E8" i="18"/>
  <c r="F8" i="18"/>
  <c r="K8" i="18"/>
  <c r="L8" i="18"/>
  <c r="E9" i="18"/>
  <c r="F9" i="18"/>
  <c r="K9" i="18"/>
  <c r="L9" i="18"/>
  <c r="E11" i="18"/>
  <c r="F11" i="18"/>
  <c r="K11" i="18"/>
  <c r="L11" i="18"/>
  <c r="E12" i="18"/>
  <c r="F12" i="18"/>
  <c r="K12" i="18"/>
  <c r="L12" i="18"/>
  <c r="E13" i="18"/>
  <c r="F13" i="18"/>
  <c r="K13" i="18"/>
  <c r="L13" i="18"/>
  <c r="E14" i="18"/>
  <c r="F14" i="18"/>
  <c r="K14" i="18"/>
  <c r="L14" i="18"/>
  <c r="E15" i="18"/>
  <c r="F15" i="18"/>
  <c r="K15" i="18"/>
  <c r="L15" i="18"/>
  <c r="E16" i="18"/>
  <c r="F16" i="18"/>
  <c r="K16" i="18"/>
  <c r="L16" i="18"/>
  <c r="E17" i="18"/>
  <c r="F17" i="18"/>
  <c r="K17" i="18"/>
  <c r="L17" i="18"/>
  <c r="E18" i="18"/>
  <c r="F18" i="18"/>
  <c r="K18" i="18"/>
  <c r="L18" i="18"/>
  <c r="H18" i="18"/>
  <c r="I18" i="18"/>
  <c r="J18" i="18"/>
  <c r="E4" i="18"/>
  <c r="H4" i="18"/>
  <c r="H17" i="18"/>
  <c r="H16" i="18"/>
  <c r="H15" i="18"/>
  <c r="H14" i="18"/>
  <c r="H13" i="18"/>
  <c r="H12" i="18"/>
  <c r="H11" i="18"/>
  <c r="H7" i="18"/>
  <c r="H10" i="18"/>
  <c r="H9" i="18"/>
  <c r="H8" i="18"/>
  <c r="H6" i="18"/>
  <c r="H5" i="18"/>
  <c r="J4" i="18"/>
  <c r="J5" i="18"/>
  <c r="J8" i="18"/>
  <c r="J11" i="18"/>
  <c r="J15" i="18"/>
  <c r="I4" i="18"/>
  <c r="I7" i="18"/>
  <c r="J7" i="18"/>
  <c r="I6" i="18"/>
  <c r="J6" i="18"/>
  <c r="I14" i="18"/>
  <c r="J14" i="18"/>
  <c r="I9" i="18"/>
  <c r="J9" i="18"/>
  <c r="I16" i="18"/>
  <c r="J16" i="18"/>
  <c r="I12" i="18"/>
  <c r="J12" i="18"/>
  <c r="I10" i="18"/>
  <c r="I13" i="18"/>
  <c r="J13" i="18"/>
  <c r="I17" i="18"/>
  <c r="J17" i="18"/>
  <c r="H19" i="18"/>
  <c r="E19" i="18"/>
  <c r="F4" i="18"/>
  <c r="I8" i="18"/>
  <c r="I11" i="18"/>
  <c r="I5" i="18"/>
  <c r="I15" i="18"/>
  <c r="K4" i="18"/>
  <c r="L4" i="18"/>
  <c r="I19" i="18"/>
  <c r="D17" i="12"/>
  <c r="D33" i="12"/>
  <c r="D47" i="12"/>
  <c r="D61" i="12"/>
  <c r="D75" i="12"/>
  <c r="D99" i="12"/>
  <c r="B110" i="12"/>
  <c r="B97" i="12"/>
  <c r="B85" i="12"/>
  <c r="B73" i="12"/>
  <c r="B59" i="12"/>
  <c r="B60" i="10"/>
  <c r="B97" i="10"/>
  <c r="B15" i="12"/>
  <c r="B45" i="12"/>
  <c r="B31" i="12"/>
  <c r="B193" i="10"/>
  <c r="B181" i="10"/>
  <c r="B169" i="10"/>
  <c r="B157" i="10"/>
  <c r="B145" i="10"/>
  <c r="B133" i="10"/>
  <c r="B121" i="10"/>
  <c r="B109" i="10"/>
  <c r="B84" i="10"/>
  <c r="B72" i="10"/>
  <c r="B48" i="10"/>
  <c r="B35" i="10"/>
  <c r="B23" i="10"/>
  <c r="B11" i="10"/>
  <c r="A28" i="1"/>
  <c r="A27" i="1"/>
  <c r="A26" i="1"/>
  <c r="A25" i="1"/>
  <c r="A24" i="1"/>
  <c r="A23" i="1"/>
  <c r="A22" i="1"/>
  <c r="A21" i="1"/>
  <c r="A20" i="1"/>
  <c r="A19" i="1"/>
  <c r="A18" i="1"/>
  <c r="A17" i="1"/>
  <c r="A16" i="1"/>
  <c r="A15" i="1"/>
  <c r="A14" i="1"/>
  <c r="A13" i="1"/>
  <c r="C46" i="1"/>
  <c r="C45" i="1"/>
  <c r="F19" i="18" l="1"/>
</calcChain>
</file>

<file path=xl/sharedStrings.xml><?xml version="1.0" encoding="utf-8"?>
<sst xmlns="http://schemas.openxmlformats.org/spreadsheetml/2006/main" count="378" uniqueCount="171">
  <si>
    <t>Journal de travail</t>
  </si>
  <si>
    <t>Module :</t>
  </si>
  <si>
    <t>254 - Décrire les processus métier dans votre propre environnement professionnel</t>
  </si>
  <si>
    <t>Prénom - nom :</t>
  </si>
  <si>
    <t>AGX, BSI, SOI, XCL</t>
  </si>
  <si>
    <t>Classe :</t>
  </si>
  <si>
    <t>PROF</t>
  </si>
  <si>
    <t>Lieu :</t>
  </si>
  <si>
    <t>ETML</t>
  </si>
  <si>
    <t>Dates :</t>
  </si>
  <si>
    <t>Du 6.11.2023 au 12.01.2024 (Trimestre 2) / Du 15.01.2024 au 15.03.2024 (Trimestre 3)</t>
  </si>
  <si>
    <t>Durée totale [Périodes] :</t>
  </si>
  <si>
    <t xml:space="preserve">40 p de module + 32 p de projet </t>
  </si>
  <si>
    <t>Planification des activités du module :</t>
  </si>
  <si>
    <t>Tâches - objectifs</t>
  </si>
  <si>
    <t>Nb 1/3 périodes</t>
  </si>
  <si>
    <t>Séquence 1</t>
  </si>
  <si>
    <t>Séquence 2</t>
  </si>
  <si>
    <t>Séquence 3</t>
  </si>
  <si>
    <t>Séquence 4</t>
  </si>
  <si>
    <t>Séquence 5</t>
  </si>
  <si>
    <t>Séquence 6</t>
  </si>
  <si>
    <t>Séquence 7</t>
  </si>
  <si>
    <t>Séquence 8</t>
  </si>
  <si>
    <t>Séquence 9</t>
  </si>
  <si>
    <t>Séquence 10</t>
  </si>
  <si>
    <t>Séquence 11</t>
  </si>
  <si>
    <t>Séquence 12</t>
  </si>
  <si>
    <t>Séquence 13</t>
  </si>
  <si>
    <t>Séquence 14</t>
  </si>
  <si>
    <t>Séquence 15</t>
  </si>
  <si>
    <t>Séquence 16</t>
  </si>
  <si>
    <t xml:space="preserve">Absences - imprévus </t>
  </si>
  <si>
    <t>Introduction module</t>
  </si>
  <si>
    <t>Prise en main d'un ERP</t>
  </si>
  <si>
    <t>Représenter des flux</t>
  </si>
  <si>
    <t>Culture économique des entreprises</t>
  </si>
  <si>
    <t>Réaliser un projet d'entreprise</t>
  </si>
  <si>
    <t>Evaluation</t>
  </si>
  <si>
    <t>Total planifié</t>
  </si>
  <si>
    <t>Total réalisé</t>
  </si>
  <si>
    <t>Séquence</t>
  </si>
  <si>
    <t>1</t>
  </si>
  <si>
    <t>Tâche</t>
  </si>
  <si>
    <t>Durée
[1/3 leç.]</t>
  </si>
  <si>
    <r>
      <t>Explications:</t>
    </r>
    <r>
      <rPr>
        <b/>
        <sz val="10"/>
        <rFont val="Arial"/>
        <family val="2"/>
      </rPr>
      <t xml:space="preserve"> qu'est-ce qui se fait et comment ?</t>
    </r>
  </si>
  <si>
    <t>Documents liés</t>
  </si>
  <si>
    <t>Total session</t>
  </si>
  <si>
    <t>2</t>
  </si>
  <si>
    <t>Durée
[1/3 lec.]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</si>
  <si>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</si>
  <si>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</si>
  <si>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</si>
  <si>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</si>
  <si>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</si>
  <si>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</si>
  <si>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</si>
  <si>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</si>
  <si>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</si>
  <si>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</si>
  <si>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</si>
  <si>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</si>
  <si>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r>
      <t>Explications:</t>
    </r>
    <r>
      <rPr>
        <b/>
        <sz val="10"/>
        <rFont val="Century Gothic"/>
        <family val="2"/>
      </rPr>
      <t xml:space="preserve"> qu'est-ce qui se fait et comment ?</t>
    </r>
  </si>
  <si>
    <t xml:space="preserve">Absents : </t>
  </si>
  <si>
    <t>Brisons la glace, nous ne nous connaissons pas tous :)</t>
  </si>
  <si>
    <t>Passage en revue du descriptif du module et de la DEP</t>
  </si>
  <si>
    <t>254_3_Descriptif.pdf</t>
  </si>
  <si>
    <t>Brainstorming sur la compréhension des entreprises, de leurs processus internes ou la compta</t>
  </si>
  <si>
    <t>254-1-DEP.docx</t>
  </si>
  <si>
    <r>
      <rPr>
        <b/>
        <sz val="10"/>
        <rFont val="Century Gothic"/>
        <family val="2"/>
      </rPr>
      <t>ERP</t>
    </r>
    <r>
      <rPr>
        <sz val="10"/>
        <rFont val="Century Gothic"/>
        <family val="2"/>
      </rPr>
      <t xml:space="preserve"> (Enterprise Resource Planning) / </t>
    </r>
    <r>
      <rPr>
        <b/>
        <sz val="10"/>
        <rFont val="Century Gothic"/>
        <family val="2"/>
      </rPr>
      <t>CRM</t>
    </r>
    <r>
      <rPr>
        <sz val="10"/>
        <rFont val="Century Gothic"/>
        <family val="2"/>
      </rPr>
      <t xml:space="preserve"> (Customer Relationship Management)</t>
    </r>
  </si>
  <si>
    <t>Mise à niveau de leur compréhension d'ECOE :
- Quelques formes juridiques ? A quoi ça sert ? Registre du commerce ?
- Imaginons un organigramme sectoriel d'entreprise, quels rôles ?
- Centres de coûts vs Centre de profit, quelle finalité financière ?
- Notions financières : Achat / Vente / CA / Bénéfice / Imposition
- Business Model &amp; Business Plan
- BPMN
Chaque thème est entraîner avec des exos</t>
  </si>
  <si>
    <t>S-254-PrincipesECOE.pdf</t>
  </si>
  <si>
    <t>La séquence de projet du 08.11 est utilisée pour le module</t>
  </si>
  <si>
    <r>
      <rPr>
        <b/>
        <sz val="10"/>
        <rFont val="Century Gothic"/>
        <family val="2"/>
      </rPr>
      <t>Absents :</t>
    </r>
    <r>
      <rPr>
        <sz val="10"/>
        <rFont val="Century Gothic"/>
        <family val="2"/>
      </rPr>
      <t xml:space="preserve"> </t>
    </r>
  </si>
  <si>
    <t>Suite &amp; Chaque thème est entraîner avec des exos =&gt;
a) E-254-ExercicesECOE-Serie2.pdf
b) E*** concernant les flux BPMN</t>
  </si>
  <si>
    <t>ECOE</t>
  </si>
  <si>
    <r>
      <rPr>
        <sz val="10"/>
        <color rgb="FF000000"/>
        <rFont val="Century Gothic"/>
      </rPr>
      <t xml:space="preserve">Jouer individuellement avec Odoo dans l'ordre des scénarios de Scale-Up !
1) Chacun crée un compte sur odoo.com avec son </t>
    </r>
    <r>
      <rPr>
        <b/>
        <sz val="10"/>
        <color rgb="FF000000"/>
        <rFont val="Century Gothic"/>
      </rPr>
      <t xml:space="preserve">e-mail@eduvaud.ch
</t>
    </r>
    <r>
      <rPr>
        <sz val="10"/>
        <color rgb="FF000000"/>
        <rFont val="Century Gothic"/>
      </rPr>
      <t xml:space="preserve">2) Que chacun pense à préfixer ses DB avec </t>
    </r>
    <r>
      <rPr>
        <b/>
        <sz val="10"/>
        <color rgb="FF000000"/>
        <rFont val="Century Gothic"/>
      </rPr>
      <t>edu-</t>
    </r>
  </si>
  <si>
    <t>o-business-game-MARCH23_V16_fr_WEB.pdf</t>
  </si>
  <si>
    <t>Discuter, commenter, identifier des séquences "commerciales" …</t>
  </si>
  <si>
    <r>
      <t xml:space="preserve">Absents : </t>
    </r>
    <r>
      <rPr>
        <sz val="10"/>
        <rFont val="Century Gothic"/>
        <family val="2"/>
      </rPr>
      <t>M. Sallaku</t>
    </r>
  </si>
  <si>
    <t>Corrections de l'exercice sur la commande d'un plat de pâtes</t>
  </si>
  <si>
    <t>X-254-ProcessusMetierPates-B.pdf</t>
  </si>
  <si>
    <r>
      <t xml:space="preserve">Norme d'illustration de processus d'entreprise " </t>
    </r>
    <r>
      <rPr>
        <b/>
        <sz val="10"/>
        <rFont val="Century Gothic"/>
        <family val="2"/>
      </rPr>
      <t>B</t>
    </r>
    <r>
      <rPr>
        <sz val="10"/>
        <rFont val="Century Gothic"/>
        <family val="2"/>
      </rPr>
      <t xml:space="preserve">usiness </t>
    </r>
    <r>
      <rPr>
        <b/>
        <sz val="10"/>
        <rFont val="Century Gothic"/>
        <family val="2"/>
      </rPr>
      <t>P</t>
    </r>
    <r>
      <rPr>
        <sz val="10"/>
        <rFont val="Century Gothic"/>
        <family val="2"/>
      </rPr>
      <t xml:space="preserve">rocess </t>
    </r>
    <r>
      <rPr>
        <b/>
        <sz val="10"/>
        <rFont val="Century Gothic"/>
        <family val="2"/>
      </rPr>
      <t>M</t>
    </r>
    <r>
      <rPr>
        <sz val="10"/>
        <rFont val="Century Gothic"/>
        <family val="2"/>
      </rPr>
      <t xml:space="preserve">odel &amp; </t>
    </r>
    <r>
      <rPr>
        <b/>
        <sz val="10"/>
        <rFont val="Century Gothic"/>
        <family val="2"/>
      </rPr>
      <t>N</t>
    </r>
    <r>
      <rPr>
        <sz val="10"/>
        <rFont val="Century Gothic"/>
        <family val="2"/>
      </rPr>
      <t>otation " :
Génèse en 2004 : Business Project Management Initiative &amp; Object Managment Group</t>
    </r>
  </si>
  <si>
    <t>https://www.youtube.com/watch?v=ziL9-TlvB_A&amp;list=PLSkCdDPNwJTBZKn_ajUYSXiuAA8xVq421</t>
  </si>
  <si>
    <t>14 vidéos pour se former</t>
  </si>
  <si>
    <r>
      <t xml:space="preserve">Jouer individuellement avec Odoo dans l'ordre des scénarios de Scale-Up !
1) Chacun crée un compte sur odoo.com avec son </t>
    </r>
    <r>
      <rPr>
        <b/>
        <sz val="10"/>
        <rFont val="Century Gothic"/>
        <family val="2"/>
      </rPr>
      <t>e-mail@eduvaud.ch</t>
    </r>
    <r>
      <rPr>
        <sz val="10"/>
        <rFont val="Century Gothic"/>
        <family val="2"/>
      </rPr>
      <t xml:space="preserve">
2) Que chacun pense à préfixer ses DB avec </t>
    </r>
    <r>
      <rPr>
        <b/>
        <sz val="10"/>
        <rFont val="Century Gothic"/>
        <family val="2"/>
      </rPr>
      <t>edu-</t>
    </r>
  </si>
  <si>
    <t>La séquence de projet du 15.11 est utilisée pour le module</t>
  </si>
  <si>
    <r>
      <t xml:space="preserve">Absents : </t>
    </r>
    <r>
      <rPr>
        <sz val="10"/>
        <rFont val="Century Gothic"/>
        <family val="2"/>
      </rPr>
      <t>MM. Moreira &amp; Piguet</t>
    </r>
  </si>
  <si>
    <t>Poursuivre la prise en main individuelle de Odoo dans l'ordre des scénarios de Scale-Up !</t>
  </si>
  <si>
    <t>Introdcution au projet de groupe</t>
  </si>
  <si>
    <r>
      <rPr>
        <b/>
        <sz val="10"/>
        <rFont val="Century Gothic"/>
        <family val="2"/>
      </rPr>
      <t>Consignes dans Teams :</t>
    </r>
    <r>
      <rPr>
        <sz val="10"/>
        <rFont val="Century Gothic"/>
        <family val="2"/>
      </rPr>
      <t xml:space="preserve">
- S-254-Entreprises.pdf</t>
    </r>
  </si>
  <si>
    <r>
      <t xml:space="preserve">Absents : </t>
    </r>
    <r>
      <rPr>
        <sz val="10"/>
        <rFont val="Century Gothic"/>
        <family val="2"/>
      </rPr>
      <t>Beaucoup d'arrivées tardives (CFF)</t>
    </r>
  </si>
  <si>
    <r>
      <t xml:space="preserve">Démarrer le projet =&gt;
Entreprise A : Schertenleib, Segalen B., Sallaku - </t>
    </r>
    <r>
      <rPr>
        <b/>
        <sz val="10"/>
        <rFont val="Century Gothic"/>
        <family val="2"/>
      </rPr>
      <t>PC</t>
    </r>
    <r>
      <rPr>
        <sz val="10"/>
        <rFont val="Century Gothic"/>
        <family val="2"/>
      </rPr>
      <t xml:space="preserve">
Entreprise B : Denis, Fabre, Moreira - </t>
    </r>
    <r>
      <rPr>
        <b/>
        <sz val="10"/>
        <rFont val="Century Gothic"/>
        <family val="2"/>
      </rPr>
      <t>Mugcakes</t>
    </r>
    <r>
      <rPr>
        <sz val="10"/>
        <rFont val="Century Gothic"/>
        <family val="2"/>
      </rPr>
      <t xml:space="preserve">
Entreprise C : Bamert, Herrera, Moser - </t>
    </r>
    <r>
      <rPr>
        <b/>
        <sz val="10"/>
        <rFont val="Century Gothic"/>
        <family val="2"/>
      </rPr>
      <t>Jeux/Jouets</t>
    </r>
    <r>
      <rPr>
        <sz val="10"/>
        <rFont val="Century Gothic"/>
        <family val="2"/>
      </rPr>
      <t xml:space="preserve">
Entreprise D : Segalen A, Thode, Nademo - </t>
    </r>
    <r>
      <rPr>
        <b/>
        <sz val="10"/>
        <rFont val="Century Gothic"/>
        <family val="2"/>
      </rPr>
      <t>Fleurs</t>
    </r>
    <r>
      <rPr>
        <sz val="10"/>
        <rFont val="Century Gothic"/>
        <family val="2"/>
      </rPr>
      <t xml:space="preserve">
Entreprise E : Sottile, Texeira, Piguet - </t>
    </r>
    <r>
      <rPr>
        <b/>
        <sz val="10"/>
        <rFont val="Century Gothic"/>
        <family val="2"/>
      </rPr>
      <t>Avions</t>
    </r>
  </si>
  <si>
    <r>
      <t xml:space="preserve">Consignes dans Teams :
</t>
    </r>
    <r>
      <rPr>
        <sz val="10"/>
        <rFont val="Century Gothic"/>
        <family val="2"/>
      </rPr>
      <t>- S-254-Entreprises.pdf
- M-PROJ-ALL-Rapport.dotx
- S-254-ETMLstore-ProcessusCommande.pdf</t>
    </r>
  </si>
  <si>
    <t>Débuter en remplissant un business model, puis entreprendre les tâches de façon répartie</t>
  </si>
  <si>
    <t>Imprimer une version papier que chacun gardera avec soi</t>
  </si>
  <si>
    <t>G-GP254-FeuilleEvaluationProjets-Grp2D.xlsx</t>
  </si>
  <si>
    <t>Circuler entre les groupes, observer les tâches réalisées et aider la résolution de problèmes.</t>
  </si>
  <si>
    <t>La séquence de projet du 22.11 est utilisée pour le PROJET</t>
  </si>
  <si>
    <r>
      <t xml:space="preserve">Absents : </t>
    </r>
    <r>
      <rPr>
        <sz val="10"/>
        <rFont val="Century Gothic"/>
        <family val="2"/>
      </rPr>
      <t>M. Nademo</t>
    </r>
  </si>
  <si>
    <t>Poursuivre le projet de groupe (P_GestProj 254 )</t>
  </si>
  <si>
    <t>BSI circule entre les groupes. Observation des tâches réalisées et des problèmes</t>
  </si>
  <si>
    <t>Annoncer TS1</t>
  </si>
  <si>
    <r>
      <t xml:space="preserve">Poursuivre le projet =&gt;
Entreprise A : Schertenleib, Segalen B., Sallaku - </t>
    </r>
    <r>
      <rPr>
        <b/>
        <sz val="10"/>
        <rFont val="Century Gothic"/>
        <family val="2"/>
      </rPr>
      <t>PC</t>
    </r>
    <r>
      <rPr>
        <sz val="10"/>
        <rFont val="Century Gothic"/>
        <family val="2"/>
      </rPr>
      <t xml:space="preserve">
Entreprise B : Denis, Fabre, Moreira - </t>
    </r>
    <r>
      <rPr>
        <b/>
        <sz val="10"/>
        <rFont val="Century Gothic"/>
        <family val="2"/>
      </rPr>
      <t>Mugcakes</t>
    </r>
    <r>
      <rPr>
        <sz val="10"/>
        <rFont val="Century Gothic"/>
        <family val="2"/>
      </rPr>
      <t xml:space="preserve">
Entreprise C : Bamert, Herrera, Moser - </t>
    </r>
    <r>
      <rPr>
        <b/>
        <sz val="10"/>
        <rFont val="Century Gothic"/>
        <family val="2"/>
      </rPr>
      <t>Jeux/Jouets</t>
    </r>
    <r>
      <rPr>
        <sz val="10"/>
        <rFont val="Century Gothic"/>
        <family val="2"/>
      </rPr>
      <t xml:space="preserve">
Entreprise D : Segalen A, Thode, Nademo - </t>
    </r>
    <r>
      <rPr>
        <b/>
        <sz val="10"/>
        <rFont val="Century Gothic"/>
        <family val="2"/>
      </rPr>
      <t>Fleurs</t>
    </r>
    <r>
      <rPr>
        <sz val="10"/>
        <rFont val="Century Gothic"/>
        <family val="2"/>
      </rPr>
      <t xml:space="preserve">
Entreprise E : Sottile, Texeira, Piguet - </t>
    </r>
    <r>
      <rPr>
        <b/>
        <sz val="10"/>
        <rFont val="Century Gothic"/>
        <family val="2"/>
      </rPr>
      <t>Avions</t>
    </r>
  </si>
  <si>
    <t>Test sommatif n°1 (Culture générale d'ECOE)</t>
  </si>
  <si>
    <t>La séquence de projet du 29.11 est utilisée pour le PROJET</t>
  </si>
  <si>
    <r>
      <t xml:space="preserve">Absents : </t>
    </r>
    <r>
      <rPr>
        <sz val="10"/>
        <rFont val="Century Gothic"/>
        <family val="2"/>
      </rPr>
      <t>MM. Nademo, Piguet &amp; Sallaku</t>
    </r>
  </si>
  <si>
    <t>Poursuivre le projet …</t>
  </si>
  <si>
    <t>Si M. Nademo est présent =&gt; test de rattrapage.
Corrections du test sommatif n°1 (Culture générale d'ECOE).
Faire vider les boîtes mail et les fichiers temporaires</t>
  </si>
  <si>
    <t>https://forms.office.com/e/WWHiWYmvGc</t>
  </si>
  <si>
    <r>
      <t xml:space="preserve">Poursuivre le projet =&gt;
Entreprise A : Schertenleib, Segalen B., Sallaku - </t>
    </r>
    <r>
      <rPr>
        <b/>
        <sz val="10"/>
        <rFont val="Century Gothic"/>
        <family val="2"/>
      </rPr>
      <t>PC - SSS Computer</t>
    </r>
    <r>
      <rPr>
        <sz val="10"/>
        <rFont val="Century Gothic"/>
        <family val="2"/>
      </rPr>
      <t xml:space="preserve">
Entreprise B : Denis, Fabre, Moreira - </t>
    </r>
    <r>
      <rPr>
        <b/>
        <sz val="10"/>
        <rFont val="Century Gothic"/>
        <family val="2"/>
      </rPr>
      <t>Mugcakes</t>
    </r>
    <r>
      <rPr>
        <sz val="10"/>
        <rFont val="Century Gothic"/>
        <family val="2"/>
      </rPr>
      <t xml:space="preserve">
Entreprise C : Bamert, Herrera, Moser - </t>
    </r>
    <r>
      <rPr>
        <b/>
        <sz val="10"/>
        <rFont val="Century Gothic"/>
        <family val="2"/>
      </rPr>
      <t>Jeux/Jouets =&gt; Custom Games</t>
    </r>
    <r>
      <rPr>
        <sz val="10"/>
        <rFont val="Century Gothic"/>
        <family val="2"/>
      </rPr>
      <t xml:space="preserve">
Entreprise D : Segalen A, Thode, Nademo - </t>
    </r>
    <r>
      <rPr>
        <b/>
        <sz val="10"/>
        <rFont val="Century Gothic"/>
        <family val="2"/>
      </rPr>
      <t>Fleurs =&gt; Flora Nova</t>
    </r>
    <r>
      <rPr>
        <sz val="10"/>
        <rFont val="Century Gothic"/>
        <family val="2"/>
      </rPr>
      <t xml:space="preserve">
Entreprise E : Sottile, Texeira, Piguet - </t>
    </r>
    <r>
      <rPr>
        <b/>
        <sz val="10"/>
        <rFont val="Century Gothic"/>
        <family val="2"/>
      </rPr>
      <t>Avions =&gt; Skyfold</t>
    </r>
  </si>
  <si>
    <t>S-254-Entreprises.docx</t>
  </si>
  <si>
    <t>BSI circule entre les groupes et effectue une 1ère évaluation</t>
  </si>
  <si>
    <t>La séquence de projet du 06.12 est utilisée majoritairement pour le projet</t>
  </si>
  <si>
    <t>BSI évalue les différents groupes, max 30 min par groupe :
- état des Processus BPMN
- état de l'ERP Odoo
- Pronostic de la production pour ve prochain
- AutoEval des membres du groupe</t>
  </si>
  <si>
    <t>La séquence de projet du 13.12 est utilisée pour le PROJET</t>
  </si>
  <si>
    <r>
      <rPr>
        <b/>
        <sz val="10"/>
        <rFont val="Century Gothic"/>
        <family val="2"/>
      </rPr>
      <t>Planning des audits :</t>
    </r>
    <r>
      <rPr>
        <sz val="10"/>
        <rFont val="Century Gothic"/>
        <family val="2"/>
      </rPr>
      <t xml:space="preserve">
	Skyfold                          Vennes, 16.12 à 10h
	FloraNova	                    Vennes, 16.12 à 10h45
	Big Beloved Cake       Sébeillon, 20.12 à 8h30
	Custom Games           Sébeillon, 20.12 à 10h
	SSS Computer              Sébeillon, 20.12 à 10h45
</t>
    </r>
    <r>
      <rPr>
        <b/>
        <sz val="10"/>
        <rFont val="Century Gothic"/>
        <family val="2"/>
      </rPr>
      <t>Rapport à rendre le 20.12.2024 à 11h25</t>
    </r>
  </si>
  <si>
    <t>BSI audite les entreprises client/investisseur/auditeur des entreprises. Dès 10h :
10h00 -
10h30 -
11h00 -</t>
  </si>
  <si>
    <t>La séquence de projet du 20.12 est utilisée pour le PROJET</t>
  </si>
  <si>
    <t>Suite et fin du projet d'entreprise =&gt; rapport à rendre à 11h25</t>
  </si>
  <si>
    <t>BSI audite les entreprises client/investisseur/auditeur des entreprises. Dès 10h :
10h00 -
10h30 -</t>
  </si>
  <si>
    <t>C-254-AuditFormatif.docx</t>
  </si>
  <si>
    <t>BSI est client/investisseur/auditeur des entreprises. Dernier groupe :
08h15 - SkyLevel (Avions)</t>
  </si>
  <si>
    <t>Remédiation/Approfondissement/Retouche du rapport de projet</t>
  </si>
  <si>
    <t>Préparation de la présentation à produire le 12 janiver (TS2 du module 254)</t>
  </si>
  <si>
    <t>C-254-TS2.pdf</t>
  </si>
  <si>
    <t>La séquence de projet du 10.01 est utilisée pour le module 254</t>
  </si>
  <si>
    <t>Evaluation des présentations</t>
  </si>
  <si>
    <t>X-254-TS2.xlsx</t>
  </si>
  <si>
    <t>Evaluation de l'enseignement du module</t>
  </si>
  <si>
    <t>Préparer le modèle Excel</t>
  </si>
  <si>
    <t>TS1</t>
  </si>
  <si>
    <t>TS2</t>
  </si>
  <si>
    <t>Note définitive</t>
  </si>
  <si>
    <t>Théorie ECOE</t>
  </si>
  <si>
    <t>Présentation</t>
  </si>
  <si>
    <t>Pts</t>
  </si>
  <si>
    <t>1/10</t>
  </si>
  <si>
    <t>1/2</t>
  </si>
  <si>
    <t>1/10 de 1/2</t>
  </si>
  <si>
    <t>CID2B</t>
  </si>
  <si>
    <t>Bamert</t>
  </si>
  <si>
    <t>Mathieu</t>
  </si>
  <si>
    <t>Denis</t>
  </si>
  <si>
    <t>Romain</t>
  </si>
  <si>
    <t>Fabre</t>
  </si>
  <si>
    <t>Antoine</t>
  </si>
  <si>
    <t>Herrera Egoavil</t>
  </si>
  <si>
    <t>Gonzalo Javier</t>
  </si>
  <si>
    <t>Moreira</t>
  </si>
  <si>
    <t>Thomas</t>
  </si>
  <si>
    <t xml:space="preserve">Moser </t>
  </si>
  <si>
    <t>Charles-Henri</t>
  </si>
  <si>
    <t>Nademo</t>
  </si>
  <si>
    <t>Yosef</t>
  </si>
  <si>
    <t>Piguet</t>
  </si>
  <si>
    <t>Sallaku</t>
  </si>
  <si>
    <t>Samuel</t>
  </si>
  <si>
    <t>MID2B</t>
  </si>
  <si>
    <t>Schertenleib</t>
  </si>
  <si>
    <t>Segalen</t>
  </si>
  <si>
    <t>Alban</t>
  </si>
  <si>
    <t xml:space="preserve">Segalen </t>
  </si>
  <si>
    <t>Bastien</t>
  </si>
  <si>
    <t>Sottile</t>
  </si>
  <si>
    <t>Evan</t>
  </si>
  <si>
    <t>Teixeira Nunes</t>
  </si>
  <si>
    <t>Diego</t>
  </si>
  <si>
    <t>Thode</t>
  </si>
  <si>
    <t>Mateo</t>
  </si>
  <si>
    <t>Cette couleur signifie : apprenti absent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</si>
</sst>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#"/>
    <numFmt numFmtId="165" formatCode="0\ &quot;pts&quot;"/>
    <numFmt numFmtId="166" formatCode="0.0"/>
  </numFmts>
  <fonts count="26">
    <font>
      <sz val="10"/>
      <name val="Arial"/>
    </font>
    <font>
      <b/>
      <sz val="16"/>
      <name val="Verdana"/>
      <family val="2"/>
    </font>
    <font>
      <sz val="9"/>
      <name val="Verdana"/>
      <family val="2"/>
    </font>
    <font>
      <u/>
      <sz val="10"/>
      <color indexed="12"/>
      <name val="Arial"/>
      <family val="2"/>
    </font>
    <font>
      <sz val="16"/>
      <name val="Verdana"/>
      <family val="2"/>
    </font>
    <font>
      <b/>
      <u/>
      <sz val="16"/>
      <name val="Verdana"/>
      <family val="2"/>
    </font>
    <font>
      <sz val="14"/>
      <name val="Verdana"/>
      <family val="2"/>
    </font>
    <font>
      <b/>
      <sz val="14"/>
      <name val="Verdana"/>
      <family val="2"/>
    </font>
    <font>
      <b/>
      <sz val="10"/>
      <name val="Arial"/>
      <family val="2"/>
    </font>
    <font>
      <sz val="10"/>
      <name val="Arial"/>
      <family val="2"/>
    </font>
    <font>
      <b/>
      <sz val="12"/>
      <name val="Arial"/>
      <family val="2"/>
    </font>
    <font>
      <b/>
      <sz val="10"/>
      <name val="Verdana"/>
      <family val="2"/>
    </font>
    <font>
      <sz val="10"/>
      <color indexed="9"/>
      <name val="Arial"/>
      <family val="2"/>
    </font>
    <font>
      <b/>
      <sz val="14"/>
      <name val="Arial"/>
      <family val="2"/>
    </font>
    <font>
      <b/>
      <sz val="10"/>
      <color rgb="FFFF0000"/>
      <name val="Arial"/>
      <family val="2"/>
    </font>
    <font>
      <b/>
      <sz val="10"/>
      <color theme="6" tint="-0.499984740745262"/>
      <name val="Arial"/>
      <family val="2"/>
    </font>
    <font>
      <b/>
      <sz val="12"/>
      <name val="Century Gothic"/>
      <family val="2"/>
    </font>
    <font>
      <b/>
      <sz val="14"/>
      <name val="Century Gothic"/>
      <family val="2"/>
    </font>
    <font>
      <sz val="10"/>
      <name val="Century Gothic"/>
      <family val="2"/>
    </font>
    <font>
      <sz val="9"/>
      <name val="Century Gothic"/>
      <family val="2"/>
    </font>
    <font>
      <b/>
      <sz val="10"/>
      <name val="Century Gothic"/>
      <family val="2"/>
    </font>
    <font>
      <u/>
      <sz val="10"/>
      <color indexed="12"/>
      <name val="Century Gothic"/>
      <family val="2"/>
    </font>
    <font>
      <b/>
      <sz val="11"/>
      <name val="Century Gothic"/>
      <family val="2"/>
    </font>
    <font>
      <sz val="11"/>
      <name val="Century Gothic"/>
      <family val="2"/>
    </font>
    <font>
      <sz val="10"/>
      <color rgb="FF000000"/>
      <name val="Century Gothic"/>
    </font>
    <font>
      <b/>
      <sz val="10"/>
      <color rgb="FF000000"/>
      <name val="Century Gothic"/>
    </font>
  </fonts>
  <fills count="21">
    <fill>
      <patternFill patternType="none"/>
    </fill>
    <fill>
      <patternFill patternType="gray125"/>
    </fill>
    <fill>
      <patternFill patternType="solid">
        <fgColor indexed="2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theme="8" tint="0.79998168889431442"/>
        <bgColor indexed="64"/>
      </patternFill>
    </fill>
  </fills>
  <borders count="81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dotted">
        <color indexed="64"/>
      </right>
      <top style="medium">
        <color indexed="64"/>
      </top>
      <bottom style="hair">
        <color indexed="64"/>
      </bottom>
      <diagonal/>
    </border>
    <border>
      <left style="dotted">
        <color indexed="64"/>
      </left>
      <right/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dotted">
        <color indexed="64"/>
      </right>
      <top style="hair">
        <color indexed="64"/>
      </top>
      <bottom/>
      <diagonal/>
    </border>
    <border>
      <left style="dotted">
        <color indexed="64"/>
      </left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dotted">
        <color indexed="64"/>
      </right>
      <top/>
      <bottom style="hair">
        <color indexed="64"/>
      </bottom>
      <diagonal/>
    </border>
    <border>
      <left style="dotted">
        <color indexed="64"/>
      </left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/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dotted">
        <color indexed="64"/>
      </right>
      <top style="thin">
        <color indexed="64"/>
      </top>
      <bottom style="hair">
        <color indexed="64"/>
      </bottom>
      <diagonal/>
    </border>
    <border>
      <left style="dotted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dotted">
        <color indexed="64"/>
      </right>
      <top style="hair">
        <color indexed="64"/>
      </top>
      <bottom style="thin">
        <color indexed="64"/>
      </bottom>
      <diagonal/>
    </border>
    <border>
      <left style="dotted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dashed">
        <color indexed="64"/>
      </bottom>
      <diagonal/>
    </border>
    <border>
      <left/>
      <right/>
      <top style="medium">
        <color indexed="64"/>
      </top>
      <bottom style="dashed">
        <color indexed="64"/>
      </bottom>
      <diagonal/>
    </border>
    <border>
      <left/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dashed">
        <color indexed="64"/>
      </bottom>
      <diagonal/>
    </border>
    <border>
      <left/>
      <right/>
      <top style="dashed">
        <color indexed="64"/>
      </top>
      <bottom style="dashed">
        <color indexed="64"/>
      </bottom>
      <diagonal/>
    </border>
    <border>
      <left/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medium">
        <color indexed="64"/>
      </bottom>
      <diagonal/>
    </border>
    <border>
      <left/>
      <right/>
      <top style="dashed">
        <color indexed="64"/>
      </top>
      <bottom style="medium">
        <color indexed="64"/>
      </bottom>
      <diagonal/>
    </border>
    <border>
      <left/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dott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  <border>
      <left style="medium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indexed="64"/>
      </top>
      <bottom/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3">
    <xf numFmtId="0" fontId="0" fillId="0" borderId="0"/>
    <xf numFmtId="0" fontId="3" fillId="0" borderId="0" applyNumberFormat="0" applyFill="0" applyBorder="0" applyAlignment="0" applyProtection="0">
      <alignment vertical="top"/>
      <protection locked="0"/>
    </xf>
    <xf numFmtId="0" fontId="9" fillId="0" borderId="0"/>
  </cellStyleXfs>
  <cellXfs count="208">
    <xf numFmtId="0" fontId="0" fillId="0" borderId="0" xfId="0"/>
    <xf numFmtId="0" fontId="2" fillId="2" borderId="0" xfId="0" applyFont="1" applyFill="1"/>
    <xf numFmtId="0" fontId="2" fillId="2" borderId="0" xfId="0" applyFont="1" applyFill="1" applyAlignment="1">
      <alignment vertical="center"/>
    </xf>
    <xf numFmtId="0" fontId="0" fillId="2" borderId="0" xfId="0" applyFill="1"/>
    <xf numFmtId="0" fontId="9" fillId="0" borderId="1" xfId="0" applyFont="1" applyBorder="1" applyAlignment="1" applyProtection="1">
      <alignment horizontal="center" vertical="center" wrapText="1"/>
      <protection locked="0"/>
    </xf>
    <xf numFmtId="0" fontId="9" fillId="0" borderId="2" xfId="0" applyFont="1" applyBorder="1" applyAlignment="1" applyProtection="1">
      <alignment horizontal="center" vertical="center" wrapText="1"/>
      <protection locked="0"/>
    </xf>
    <xf numFmtId="0" fontId="9" fillId="0" borderId="3" xfId="0" applyFont="1" applyBorder="1" applyAlignment="1" applyProtection="1">
      <alignment horizontal="center" vertical="center" wrapText="1"/>
      <protection locked="0"/>
    </xf>
    <xf numFmtId="0" fontId="2" fillId="0" borderId="0" xfId="0" applyFont="1"/>
    <xf numFmtId="0" fontId="4" fillId="0" borderId="0" xfId="0" applyFont="1" applyAlignment="1">
      <alignment vertical="center"/>
    </xf>
    <xf numFmtId="0" fontId="1" fillId="0" borderId="0" xfId="0" applyFont="1" applyAlignment="1">
      <alignment horizontal="left" vertical="center"/>
    </xf>
    <xf numFmtId="0" fontId="2" fillId="3" borderId="0" xfId="0" applyFont="1" applyFill="1" applyAlignment="1">
      <alignment horizontal="center"/>
    </xf>
    <xf numFmtId="0" fontId="2" fillId="3" borderId="0" xfId="0" applyFont="1" applyFill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3" xfId="0" applyBorder="1" applyAlignment="1">
      <alignment horizontal="left"/>
    </xf>
    <xf numFmtId="0" fontId="0" fillId="0" borderId="14" xfId="0" applyBorder="1" applyAlignment="1">
      <alignment horizontal="left"/>
    </xf>
    <xf numFmtId="0" fontId="0" fillId="0" borderId="15" xfId="0" applyBorder="1"/>
    <xf numFmtId="0" fontId="0" fillId="0" borderId="16" xfId="0" applyBorder="1"/>
    <xf numFmtId="0" fontId="11" fillId="0" borderId="17" xfId="0" applyFont="1" applyBorder="1" applyAlignment="1">
      <alignment horizontal="centerContinuous" vertical="center"/>
    </xf>
    <xf numFmtId="0" fontId="0" fillId="0" borderId="21" xfId="0" applyBorder="1"/>
    <xf numFmtId="0" fontId="0" fillId="0" borderId="22" xfId="0" applyBorder="1"/>
    <xf numFmtId="0" fontId="0" fillId="0" borderId="23" xfId="0" applyBorder="1"/>
    <xf numFmtId="0" fontId="0" fillId="0" borderId="24" xfId="0" applyBorder="1"/>
    <xf numFmtId="0" fontId="0" fillId="0" borderId="25" xfId="0" applyBorder="1"/>
    <xf numFmtId="0" fontId="2" fillId="0" borderId="0" xfId="0" applyFont="1" applyAlignment="1">
      <alignment vertical="center"/>
    </xf>
    <xf numFmtId="0" fontId="0" fillId="0" borderId="26" xfId="0" applyBorder="1"/>
    <xf numFmtId="0" fontId="0" fillId="0" borderId="27" xfId="0" applyBorder="1"/>
    <xf numFmtId="0" fontId="0" fillId="0" borderId="28" xfId="0" applyBorder="1"/>
    <xf numFmtId="0" fontId="0" fillId="0" borderId="29" xfId="0" applyBorder="1"/>
    <xf numFmtId="0" fontId="0" fillId="0" borderId="30" xfId="0" applyBorder="1"/>
    <xf numFmtId="0" fontId="0" fillId="0" borderId="31" xfId="0" applyBorder="1"/>
    <xf numFmtId="0" fontId="0" fillId="0" borderId="32" xfId="0" applyBorder="1"/>
    <xf numFmtId="0" fontId="0" fillId="0" borderId="33" xfId="0" applyBorder="1"/>
    <xf numFmtId="0" fontId="0" fillId="0" borderId="34" xfId="0" applyBorder="1"/>
    <xf numFmtId="0" fontId="0" fillId="0" borderId="35" xfId="0" applyBorder="1"/>
    <xf numFmtId="0" fontId="0" fillId="0" borderId="36" xfId="0" applyBorder="1"/>
    <xf numFmtId="0" fontId="0" fillId="0" borderId="37" xfId="0" applyBorder="1"/>
    <xf numFmtId="0" fontId="0" fillId="0" borderId="38" xfId="0" applyBorder="1"/>
    <xf numFmtId="0" fontId="0" fillId="0" borderId="39" xfId="0" applyBorder="1"/>
    <xf numFmtId="0" fontId="0" fillId="0" borderId="40" xfId="0" applyBorder="1"/>
    <xf numFmtId="0" fontId="0" fillId="0" borderId="41" xfId="0" applyBorder="1"/>
    <xf numFmtId="0" fontId="0" fillId="0" borderId="42" xfId="0" applyBorder="1"/>
    <xf numFmtId="0" fontId="0" fillId="0" borderId="43" xfId="0" applyBorder="1"/>
    <xf numFmtId="0" fontId="0" fillId="0" borderId="44" xfId="0" applyBorder="1"/>
    <xf numFmtId="0" fontId="12" fillId="0" borderId="13" xfId="0" applyFont="1" applyBorder="1"/>
    <xf numFmtId="0" fontId="9" fillId="0" borderId="1" xfId="0" applyFont="1" applyBorder="1" applyAlignment="1" applyProtection="1">
      <alignment horizontal="left" vertical="top" wrapText="1"/>
      <protection locked="0"/>
    </xf>
    <xf numFmtId="0" fontId="9" fillId="0" borderId="2" xfId="0" applyFont="1" applyBorder="1" applyAlignment="1" applyProtection="1">
      <alignment horizontal="left" vertical="top" wrapText="1"/>
      <protection locked="0"/>
    </xf>
    <xf numFmtId="0" fontId="9" fillId="0" borderId="3" xfId="0" applyFont="1" applyBorder="1" applyAlignment="1" applyProtection="1">
      <alignment horizontal="left" vertical="top" wrapText="1"/>
      <protection locked="0"/>
    </xf>
    <xf numFmtId="0" fontId="9" fillId="0" borderId="1" xfId="1" applyFont="1" applyFill="1" applyBorder="1" applyAlignment="1" applyProtection="1">
      <alignment horizontal="center" vertical="center" wrapText="1"/>
      <protection locked="0"/>
    </xf>
    <xf numFmtId="0" fontId="9" fillId="0" borderId="2" xfId="1" applyFont="1" applyFill="1" applyBorder="1" applyAlignment="1" applyProtection="1">
      <alignment horizontal="center" vertical="center" wrapText="1"/>
      <protection locked="0"/>
    </xf>
    <xf numFmtId="0" fontId="10" fillId="4" borderId="45" xfId="0" applyFont="1" applyFill="1" applyBorder="1" applyAlignment="1">
      <alignment horizontal="center" vertical="center"/>
    </xf>
    <xf numFmtId="0" fontId="13" fillId="4" borderId="18" xfId="0" quotePrefix="1" applyFont="1" applyFill="1" applyBorder="1" applyAlignment="1">
      <alignment horizontal="centerContinuous" vertical="center"/>
    </xf>
    <xf numFmtId="0" fontId="0" fillId="4" borderId="20" xfId="0" applyFill="1" applyBorder="1" applyAlignment="1">
      <alignment horizontal="centerContinuous" vertical="center"/>
    </xf>
    <xf numFmtId="0" fontId="10" fillId="5" borderId="46" xfId="0" applyFont="1" applyFill="1" applyBorder="1" applyAlignment="1">
      <alignment horizontal="center" vertical="center"/>
    </xf>
    <xf numFmtId="0" fontId="8" fillId="5" borderId="46" xfId="0" applyFont="1" applyFill="1" applyBorder="1" applyAlignment="1">
      <alignment horizontal="center" vertical="center" wrapText="1"/>
    </xf>
    <xf numFmtId="0" fontId="9" fillId="6" borderId="46" xfId="0" applyFont="1" applyFill="1" applyBorder="1" applyAlignment="1">
      <alignment horizontal="center" vertical="center" wrapText="1"/>
    </xf>
    <xf numFmtId="0" fontId="9" fillId="6" borderId="20" xfId="0" applyFont="1" applyFill="1" applyBorder="1" applyAlignment="1">
      <alignment horizontal="left" vertical="top" wrapText="1"/>
    </xf>
    <xf numFmtId="0" fontId="2" fillId="7" borderId="0" xfId="0" applyFont="1" applyFill="1" applyAlignment="1">
      <alignment horizontal="center"/>
    </xf>
    <xf numFmtId="0" fontId="1" fillId="12" borderId="47" xfId="0" applyFont="1" applyFill="1" applyBorder="1" applyAlignment="1">
      <alignment vertical="center"/>
    </xf>
    <xf numFmtId="0" fontId="1" fillId="12" borderId="48" xfId="0" applyFont="1" applyFill="1" applyBorder="1" applyAlignment="1">
      <alignment vertical="center"/>
    </xf>
    <xf numFmtId="0" fontId="1" fillId="12" borderId="49" xfId="0" applyFont="1" applyFill="1" applyBorder="1" applyAlignment="1">
      <alignment vertical="center"/>
    </xf>
    <xf numFmtId="0" fontId="4" fillId="12" borderId="49" xfId="0" applyFont="1" applyFill="1" applyBorder="1" applyAlignment="1">
      <alignment vertical="center"/>
    </xf>
    <xf numFmtId="0" fontId="7" fillId="12" borderId="45" xfId="0" applyFont="1" applyFill="1" applyBorder="1" applyAlignment="1">
      <alignment horizontal="center" vertical="center"/>
    </xf>
    <xf numFmtId="0" fontId="7" fillId="12" borderId="45" xfId="0" applyFont="1" applyFill="1" applyBorder="1" applyAlignment="1">
      <alignment horizontal="center" vertical="center" wrapText="1"/>
    </xf>
    <xf numFmtId="1" fontId="6" fillId="13" borderId="50" xfId="0" applyNumberFormat="1" applyFont="1" applyFill="1" applyBorder="1" applyAlignment="1">
      <alignment horizontal="center" vertical="center"/>
    </xf>
    <xf numFmtId="1" fontId="6" fillId="13" borderId="51" xfId="0" applyNumberFormat="1" applyFont="1" applyFill="1" applyBorder="1" applyAlignment="1">
      <alignment horizontal="center" vertical="center"/>
    </xf>
    <xf numFmtId="1" fontId="6" fillId="13" borderId="52" xfId="0" applyNumberFormat="1" applyFont="1" applyFill="1" applyBorder="1" applyAlignment="1">
      <alignment horizontal="center" vertical="center"/>
    </xf>
    <xf numFmtId="1" fontId="6" fillId="13" borderId="53" xfId="0" applyNumberFormat="1" applyFont="1" applyFill="1" applyBorder="1" applyAlignment="1">
      <alignment horizontal="center" vertical="center"/>
    </xf>
    <xf numFmtId="1" fontId="6" fillId="13" borderId="54" xfId="0" applyNumberFormat="1" applyFont="1" applyFill="1" applyBorder="1" applyAlignment="1">
      <alignment horizontal="center" vertical="center"/>
    </xf>
    <xf numFmtId="0" fontId="7" fillId="14" borderId="55" xfId="0" applyFont="1" applyFill="1" applyBorder="1" applyAlignment="1">
      <alignment horizontal="right" vertical="center" wrapText="1" indent="1"/>
    </xf>
    <xf numFmtId="1" fontId="7" fillId="14" borderId="52" xfId="0" applyNumberFormat="1" applyFont="1" applyFill="1" applyBorder="1" applyAlignment="1">
      <alignment horizontal="center" vertical="center"/>
    </xf>
    <xf numFmtId="0" fontId="0" fillId="14" borderId="56" xfId="0" applyFill="1" applyBorder="1"/>
    <xf numFmtId="0" fontId="0" fillId="14" borderId="57" xfId="0" applyFill="1" applyBorder="1"/>
    <xf numFmtId="0" fontId="0" fillId="14" borderId="58" xfId="0" applyFill="1" applyBorder="1"/>
    <xf numFmtId="0" fontId="7" fillId="14" borderId="59" xfId="0" applyFont="1" applyFill="1" applyBorder="1" applyAlignment="1">
      <alignment horizontal="right" vertical="center" indent="1"/>
    </xf>
    <xf numFmtId="164" fontId="7" fillId="14" borderId="15" xfId="0" applyNumberFormat="1" applyFont="1" applyFill="1" applyBorder="1" applyAlignment="1">
      <alignment horizontal="center" vertical="center"/>
    </xf>
    <xf numFmtId="0" fontId="0" fillId="14" borderId="60" xfId="0" applyFill="1" applyBorder="1"/>
    <xf numFmtId="0" fontId="0" fillId="14" borderId="5" xfId="0" applyFill="1" applyBorder="1"/>
    <xf numFmtId="0" fontId="0" fillId="14" borderId="16" xfId="0" applyFill="1" applyBorder="1"/>
    <xf numFmtId="0" fontId="4" fillId="15" borderId="61" xfId="0" applyFont="1" applyFill="1" applyBorder="1" applyAlignment="1" applyProtection="1">
      <alignment horizontal="left" vertical="center" indent="2"/>
      <protection locked="0"/>
    </xf>
    <xf numFmtId="0" fontId="0" fillId="15" borderId="62" xfId="0" applyFill="1" applyBorder="1"/>
    <xf numFmtId="0" fontId="0" fillId="15" borderId="63" xfId="0" applyFill="1" applyBorder="1"/>
    <xf numFmtId="0" fontId="4" fillId="15" borderId="64" xfId="0" applyFont="1" applyFill="1" applyBorder="1" applyAlignment="1" applyProtection="1">
      <alignment horizontal="left" vertical="center" indent="2"/>
      <protection locked="0"/>
    </xf>
    <xf numFmtId="0" fontId="0" fillId="15" borderId="65" xfId="0" applyFill="1" applyBorder="1"/>
    <xf numFmtId="0" fontId="0" fillId="15" borderId="66" xfId="0" applyFill="1" applyBorder="1"/>
    <xf numFmtId="0" fontId="4" fillId="15" borderId="67" xfId="0" applyFont="1" applyFill="1" applyBorder="1" applyAlignment="1" applyProtection="1">
      <alignment horizontal="left" vertical="center" indent="2"/>
      <protection locked="0"/>
    </xf>
    <xf numFmtId="0" fontId="0" fillId="15" borderId="68" xfId="0" applyFill="1" applyBorder="1"/>
    <xf numFmtId="0" fontId="0" fillId="15" borderId="69" xfId="0" applyFill="1" applyBorder="1"/>
    <xf numFmtId="0" fontId="4" fillId="15" borderId="67" xfId="0" applyFont="1" applyFill="1" applyBorder="1" applyAlignment="1">
      <alignment vertical="center"/>
    </xf>
    <xf numFmtId="0" fontId="14" fillId="0" borderId="2" xfId="0" applyFont="1" applyBorder="1" applyAlignment="1" applyProtection="1">
      <alignment horizontal="left" vertical="top" wrapText="1"/>
      <protection locked="0"/>
    </xf>
    <xf numFmtId="0" fontId="3" fillId="0" borderId="2" xfId="1" applyFill="1" applyBorder="1" applyAlignment="1" applyProtection="1">
      <alignment horizontal="left" vertical="top" wrapText="1"/>
      <protection locked="0"/>
    </xf>
    <xf numFmtId="0" fontId="14" fillId="0" borderId="1" xfId="0" applyFont="1" applyBorder="1" applyAlignment="1" applyProtection="1">
      <alignment horizontal="left" vertical="top" wrapText="1"/>
      <protection locked="0"/>
    </xf>
    <xf numFmtId="0" fontId="9" fillId="0" borderId="2" xfId="0" applyFont="1" applyBorder="1" applyAlignment="1" applyProtection="1">
      <alignment horizontal="right" vertical="top" wrapText="1"/>
      <protection locked="0"/>
    </xf>
    <xf numFmtId="0" fontId="9" fillId="0" borderId="74" xfId="0" applyFont="1" applyBorder="1" applyAlignment="1" applyProtection="1">
      <alignment horizontal="center" vertical="center" wrapText="1"/>
      <protection locked="0"/>
    </xf>
    <xf numFmtId="0" fontId="9" fillId="0" borderId="74" xfId="0" applyFont="1" applyBorder="1" applyAlignment="1" applyProtection="1">
      <alignment horizontal="left" vertical="top" wrapText="1"/>
      <protection locked="0"/>
    </xf>
    <xf numFmtId="0" fontId="9" fillId="0" borderId="73" xfId="1" applyFont="1" applyFill="1" applyBorder="1" applyAlignment="1" applyProtection="1">
      <alignment horizontal="center" vertical="center" wrapText="1"/>
      <protection locked="0"/>
    </xf>
    <xf numFmtId="0" fontId="9" fillId="0" borderId="73" xfId="0" applyFont="1" applyBorder="1" applyAlignment="1" applyProtection="1">
      <alignment horizontal="center" vertical="center" wrapText="1"/>
      <protection locked="0"/>
    </xf>
    <xf numFmtId="0" fontId="9" fillId="0" borderId="73" xfId="0" applyFont="1" applyBorder="1" applyAlignment="1" applyProtection="1">
      <alignment horizontal="left" vertical="top" wrapText="1"/>
      <protection locked="0"/>
    </xf>
    <xf numFmtId="0" fontId="9" fillId="0" borderId="75" xfId="0" applyFont="1" applyBorder="1" applyAlignment="1" applyProtection="1">
      <alignment horizontal="center" vertical="center" wrapText="1"/>
      <protection locked="0"/>
    </xf>
    <xf numFmtId="0" fontId="9" fillId="0" borderId="75" xfId="0" applyFont="1" applyBorder="1" applyAlignment="1" applyProtection="1">
      <alignment horizontal="left" vertical="top" wrapText="1"/>
      <protection locked="0"/>
    </xf>
    <xf numFmtId="0" fontId="14" fillId="0" borderId="2" xfId="0" quotePrefix="1" applyFont="1" applyBorder="1" applyAlignment="1" applyProtection="1">
      <alignment horizontal="right" vertical="top" wrapText="1"/>
      <protection locked="0"/>
    </xf>
    <xf numFmtId="0" fontId="14" fillId="0" borderId="2" xfId="0" applyFont="1" applyBorder="1" applyAlignment="1" applyProtection="1">
      <alignment horizontal="right" vertical="top" wrapText="1"/>
      <protection locked="0"/>
    </xf>
    <xf numFmtId="0" fontId="8" fillId="0" borderId="2" xfId="0" applyFont="1" applyBorder="1" applyAlignment="1" applyProtection="1">
      <alignment horizontal="left" vertical="top" wrapText="1"/>
      <protection locked="0"/>
    </xf>
    <xf numFmtId="0" fontId="9" fillId="0" borderId="76" xfId="1" applyFont="1" applyFill="1" applyBorder="1" applyAlignment="1" applyProtection="1">
      <alignment horizontal="center" vertical="center" wrapText="1"/>
      <protection locked="0"/>
    </xf>
    <xf numFmtId="0" fontId="9" fillId="0" borderId="76" xfId="0" applyFont="1" applyBorder="1" applyAlignment="1" applyProtection="1">
      <alignment horizontal="center" vertical="center" wrapText="1"/>
      <protection locked="0"/>
    </xf>
    <xf numFmtId="0" fontId="2" fillId="7" borderId="14" xfId="0" applyFont="1" applyFill="1" applyBorder="1" applyAlignment="1">
      <alignment horizontal="center"/>
    </xf>
    <xf numFmtId="0" fontId="3" fillId="0" borderId="1" xfId="1" applyFill="1" applyBorder="1" applyAlignment="1" applyProtection="1">
      <alignment horizontal="left" vertical="top" wrapText="1"/>
      <protection locked="0"/>
    </xf>
    <xf numFmtId="0" fontId="9" fillId="0" borderId="72" xfId="1" applyFont="1" applyFill="1" applyBorder="1" applyAlignment="1" applyProtection="1">
      <alignment horizontal="center" vertical="center" wrapText="1"/>
      <protection locked="0"/>
    </xf>
    <xf numFmtId="0" fontId="9" fillId="0" borderId="72" xfId="0" applyFont="1" applyBorder="1" applyAlignment="1" applyProtection="1">
      <alignment horizontal="center" vertical="center" wrapText="1"/>
      <protection locked="0"/>
    </xf>
    <xf numFmtId="0" fontId="9" fillId="0" borderId="72" xfId="0" applyFont="1" applyBorder="1" applyAlignment="1" applyProtection="1">
      <alignment horizontal="left" vertical="top" wrapText="1"/>
      <protection locked="0"/>
    </xf>
    <xf numFmtId="0" fontId="8" fillId="0" borderId="1" xfId="0" applyFont="1" applyBorder="1" applyAlignment="1" applyProtection="1">
      <alignment horizontal="left" vertical="top" wrapText="1"/>
      <protection locked="0"/>
    </xf>
    <xf numFmtId="0" fontId="3" fillId="0" borderId="1" xfId="1" applyFill="1" applyBorder="1" applyAlignment="1" applyProtection="1"/>
    <xf numFmtId="0" fontId="3" fillId="0" borderId="2" xfId="1" applyFill="1" applyBorder="1" applyAlignment="1" applyProtection="1"/>
    <xf numFmtId="0" fontId="3" fillId="0" borderId="75" xfId="1" applyFill="1" applyBorder="1" applyAlignment="1" applyProtection="1"/>
    <xf numFmtId="0" fontId="3" fillId="0" borderId="2" xfId="1" applyFill="1" applyBorder="1" applyAlignment="1" applyProtection="1">
      <alignment wrapText="1"/>
    </xf>
    <xf numFmtId="0" fontId="3" fillId="0" borderId="2" xfId="1" applyFill="1" applyBorder="1" applyAlignment="1" applyProtection="1">
      <alignment horizontal="left" wrapText="1"/>
      <protection locked="0"/>
    </xf>
    <xf numFmtId="0" fontId="3" fillId="0" borderId="72" xfId="1" applyFill="1" applyBorder="1" applyAlignment="1" applyProtection="1"/>
    <xf numFmtId="0" fontId="3" fillId="0" borderId="77" xfId="1" applyFill="1" applyBorder="1" applyAlignment="1" applyProtection="1"/>
    <xf numFmtId="0" fontId="3" fillId="0" borderId="14" xfId="1" applyFill="1" applyBorder="1" applyAlignment="1" applyProtection="1"/>
    <xf numFmtId="0" fontId="15" fillId="0" borderId="2" xfId="0" applyFont="1" applyBorder="1" applyAlignment="1" applyProtection="1">
      <alignment horizontal="left" vertical="top" wrapText="1"/>
      <protection locked="0"/>
    </xf>
    <xf numFmtId="0" fontId="3" fillId="0" borderId="74" xfId="1" applyFill="1" applyBorder="1" applyAlignment="1" applyProtection="1"/>
    <xf numFmtId="0" fontId="9" fillId="0" borderId="3" xfId="0" applyFont="1" applyBorder="1" applyAlignment="1" applyProtection="1">
      <alignment horizontal="right" vertical="top" wrapText="1"/>
      <protection locked="0"/>
    </xf>
    <xf numFmtId="0" fontId="16" fillId="8" borderId="45" xfId="0" applyFont="1" applyFill="1" applyBorder="1" applyAlignment="1">
      <alignment horizontal="center" vertical="center"/>
    </xf>
    <xf numFmtId="0" fontId="17" fillId="8" borderId="18" xfId="0" quotePrefix="1" applyFont="1" applyFill="1" applyBorder="1" applyAlignment="1">
      <alignment horizontal="centerContinuous" vertical="center"/>
    </xf>
    <xf numFmtId="0" fontId="18" fillId="8" borderId="20" xfId="0" applyFont="1" applyFill="1" applyBorder="1" applyAlignment="1">
      <alignment horizontal="centerContinuous" vertical="center"/>
    </xf>
    <xf numFmtId="0" fontId="19" fillId="0" borderId="0" xfId="0" applyFont="1" applyAlignment="1">
      <alignment vertical="center"/>
    </xf>
    <xf numFmtId="0" fontId="19" fillId="2" borderId="0" xfId="0" applyFont="1" applyFill="1" applyAlignment="1">
      <alignment vertical="center"/>
    </xf>
    <xf numFmtId="0" fontId="16" fillId="9" borderId="46" xfId="0" applyFont="1" applyFill="1" applyBorder="1" applyAlignment="1">
      <alignment horizontal="center" vertical="center"/>
    </xf>
    <xf numFmtId="0" fontId="20" fillId="9" borderId="46" xfId="0" applyFont="1" applyFill="1" applyBorder="1" applyAlignment="1">
      <alignment horizontal="center" vertical="center" wrapText="1"/>
    </xf>
    <xf numFmtId="0" fontId="18" fillId="0" borderId="73" xfId="1" applyFont="1" applyFill="1" applyBorder="1" applyAlignment="1" applyProtection="1">
      <alignment horizontal="center" vertical="center" wrapText="1"/>
      <protection locked="0"/>
    </xf>
    <xf numFmtId="0" fontId="18" fillId="0" borderId="73" xfId="0" applyFont="1" applyBorder="1" applyAlignment="1" applyProtection="1">
      <alignment horizontal="center" vertical="center" wrapText="1"/>
      <protection locked="0"/>
    </xf>
    <xf numFmtId="0" fontId="18" fillId="0" borderId="73" xfId="0" applyFont="1" applyBorder="1" applyAlignment="1" applyProtection="1">
      <alignment horizontal="left" vertical="top" wrapText="1"/>
      <protection locked="0"/>
    </xf>
    <xf numFmtId="0" fontId="19" fillId="0" borderId="0" xfId="0" applyFont="1"/>
    <xf numFmtId="0" fontId="19" fillId="2" borderId="0" xfId="0" applyFont="1" applyFill="1"/>
    <xf numFmtId="0" fontId="21" fillId="0" borderId="2" xfId="1" applyFont="1" applyFill="1" applyBorder="1" applyAlignment="1" applyProtection="1"/>
    <xf numFmtId="0" fontId="18" fillId="0" borderId="3" xfId="0" applyFont="1" applyBorder="1" applyAlignment="1" applyProtection="1">
      <alignment horizontal="center" vertical="center" wrapText="1"/>
      <protection locked="0"/>
    </xf>
    <xf numFmtId="14" fontId="18" fillId="0" borderId="3" xfId="0" applyNumberFormat="1" applyFont="1" applyBorder="1" applyAlignment="1" applyProtection="1">
      <alignment horizontal="left" vertical="top" wrapText="1"/>
      <protection locked="0"/>
    </xf>
    <xf numFmtId="0" fontId="21" fillId="0" borderId="3" xfId="1" applyFont="1" applyBorder="1" applyAlignment="1" applyProtection="1"/>
    <xf numFmtId="0" fontId="18" fillId="10" borderId="46" xfId="0" applyFont="1" applyFill="1" applyBorder="1" applyAlignment="1">
      <alignment horizontal="center" vertical="center" wrapText="1"/>
    </xf>
    <xf numFmtId="0" fontId="18" fillId="10" borderId="20" xfId="0" applyFont="1" applyFill="1" applyBorder="1" applyAlignment="1">
      <alignment horizontal="left" vertical="top" wrapText="1"/>
    </xf>
    <xf numFmtId="0" fontId="19" fillId="11" borderId="0" xfId="0" applyFont="1" applyFill="1" applyAlignment="1">
      <alignment horizontal="center"/>
    </xf>
    <xf numFmtId="0" fontId="19" fillId="3" borderId="0" xfId="0" applyFont="1" applyFill="1"/>
    <xf numFmtId="0" fontId="19" fillId="3" borderId="0" xfId="0" applyFont="1" applyFill="1" applyAlignment="1">
      <alignment horizontal="center"/>
    </xf>
    <xf numFmtId="14" fontId="22" fillId="8" borderId="20" xfId="0" applyNumberFormat="1" applyFont="1" applyFill="1" applyBorder="1" applyAlignment="1">
      <alignment horizontal="centerContinuous" vertical="center"/>
    </xf>
    <xf numFmtId="0" fontId="23" fillId="0" borderId="0" xfId="0" applyFont="1" applyAlignment="1">
      <alignment vertical="center"/>
    </xf>
    <xf numFmtId="0" fontId="23" fillId="0" borderId="0" xfId="0" applyFont="1"/>
    <xf numFmtId="0" fontId="22" fillId="16" borderId="0" xfId="0" applyFont="1" applyFill="1" applyAlignment="1">
      <alignment horizontal="center" vertical="center"/>
    </xf>
    <xf numFmtId="9" fontId="22" fillId="16" borderId="0" xfId="0" applyNumberFormat="1" applyFont="1" applyFill="1" applyAlignment="1">
      <alignment horizontal="center" vertical="center"/>
    </xf>
    <xf numFmtId="165" fontId="22" fillId="16" borderId="0" xfId="0" applyNumberFormat="1" applyFont="1" applyFill="1" applyAlignment="1">
      <alignment horizontal="center" vertical="center"/>
    </xf>
    <xf numFmtId="0" fontId="22" fillId="18" borderId="0" xfId="0" applyFont="1" applyFill="1" applyAlignment="1">
      <alignment horizontal="center" vertical="center"/>
    </xf>
    <xf numFmtId="9" fontId="22" fillId="18" borderId="0" xfId="0" applyNumberFormat="1" applyFont="1" applyFill="1" applyAlignment="1">
      <alignment horizontal="center" vertical="center"/>
    </xf>
    <xf numFmtId="165" fontId="22" fillId="18" borderId="0" xfId="0" applyNumberFormat="1" applyFont="1" applyFill="1" applyAlignment="1">
      <alignment horizontal="center" vertical="center"/>
    </xf>
    <xf numFmtId="14" fontId="22" fillId="18" borderId="0" xfId="0" applyNumberFormat="1" applyFont="1" applyFill="1" applyAlignment="1">
      <alignment horizontal="center" vertical="center"/>
    </xf>
    <xf numFmtId="0" fontId="22" fillId="13" borderId="0" xfId="0" applyFont="1" applyFill="1" applyAlignment="1">
      <alignment horizontal="center" vertical="center"/>
    </xf>
    <xf numFmtId="49" fontId="22" fillId="16" borderId="0" xfId="0" applyNumberFormat="1" applyFont="1" applyFill="1" applyAlignment="1">
      <alignment horizontal="center" vertical="center"/>
    </xf>
    <xf numFmtId="49" fontId="22" fillId="18" borderId="0" xfId="0" applyNumberFormat="1" applyFont="1" applyFill="1" applyAlignment="1">
      <alignment horizontal="center" vertical="center"/>
    </xf>
    <xf numFmtId="49" fontId="22" fillId="13" borderId="0" xfId="0" applyNumberFormat="1" applyFont="1" applyFill="1" applyAlignment="1">
      <alignment horizontal="center" vertical="center"/>
    </xf>
    <xf numFmtId="0" fontId="23" fillId="16" borderId="0" xfId="0" applyFont="1" applyFill="1" applyAlignment="1">
      <alignment horizontal="center" vertical="center"/>
    </xf>
    <xf numFmtId="166" fontId="23" fillId="16" borderId="0" xfId="0" applyNumberFormat="1" applyFont="1" applyFill="1" applyAlignment="1">
      <alignment horizontal="center" vertical="center"/>
    </xf>
    <xf numFmtId="0" fontId="23" fillId="18" borderId="0" xfId="0" applyFont="1" applyFill="1" applyAlignment="1">
      <alignment horizontal="center" vertical="center"/>
    </xf>
    <xf numFmtId="166" fontId="23" fillId="18" borderId="0" xfId="0" applyNumberFormat="1" applyFont="1" applyFill="1" applyAlignment="1">
      <alignment horizontal="center" vertical="center"/>
    </xf>
    <xf numFmtId="166" fontId="23" fillId="13" borderId="0" xfId="0" applyNumberFormat="1" applyFont="1" applyFill="1" applyAlignment="1">
      <alignment horizontal="center" vertical="center"/>
    </xf>
    <xf numFmtId="166" fontId="22" fillId="13" borderId="79" xfId="0" applyNumberFormat="1" applyFont="1" applyFill="1" applyBorder="1" applyAlignment="1">
      <alignment horizontal="center" vertical="center"/>
    </xf>
    <xf numFmtId="2" fontId="22" fillId="16" borderId="57" xfId="0" applyNumberFormat="1" applyFont="1" applyFill="1" applyBorder="1" applyAlignment="1">
      <alignment horizontal="center" vertical="center"/>
    </xf>
    <xf numFmtId="2" fontId="22" fillId="18" borderId="57" xfId="0" applyNumberFormat="1" applyFont="1" applyFill="1" applyBorder="1" applyAlignment="1">
      <alignment horizontal="center" vertical="center"/>
    </xf>
    <xf numFmtId="2" fontId="22" fillId="19" borderId="57" xfId="0" applyNumberFormat="1" applyFont="1" applyFill="1" applyBorder="1" applyAlignment="1">
      <alignment horizontal="center" vertical="center"/>
    </xf>
    <xf numFmtId="2" fontId="22" fillId="19" borderId="0" xfId="0" applyNumberFormat="1" applyFont="1" applyFill="1" applyAlignment="1">
      <alignment horizontal="center" vertical="center"/>
    </xf>
    <xf numFmtId="0" fontId="18" fillId="17" borderId="0" xfId="0" applyFont="1" applyFill="1" applyAlignment="1">
      <alignment vertical="center"/>
    </xf>
    <xf numFmtId="0" fontId="20" fillId="17" borderId="0" xfId="0" applyFont="1" applyFill="1" applyAlignment="1">
      <alignment vertical="center"/>
    </xf>
    <xf numFmtId="0" fontId="20" fillId="17" borderId="0" xfId="0" applyFont="1" applyFill="1" applyAlignment="1">
      <alignment horizontal="center" vertical="center"/>
    </xf>
    <xf numFmtId="0" fontId="21" fillId="0" borderId="2" xfId="1" applyFont="1" applyFill="1" applyBorder="1" applyAlignment="1" applyProtection="1">
      <alignment wrapText="1"/>
    </xf>
    <xf numFmtId="0" fontId="18" fillId="0" borderId="78" xfId="1" applyFont="1" applyFill="1" applyBorder="1" applyAlignment="1" applyProtection="1">
      <alignment wrapText="1"/>
    </xf>
    <xf numFmtId="0" fontId="3" fillId="0" borderId="0" xfId="1" applyAlignment="1" applyProtection="1"/>
    <xf numFmtId="0" fontId="20" fillId="20" borderId="73" xfId="0" applyFont="1" applyFill="1" applyBorder="1" applyAlignment="1" applyProtection="1">
      <alignment horizontal="left" vertical="top" wrapText="1"/>
      <protection locked="0"/>
    </xf>
    <xf numFmtId="0" fontId="18" fillId="17" borderId="78" xfId="1" applyFont="1" applyFill="1" applyBorder="1" applyAlignment="1" applyProtection="1"/>
    <xf numFmtId="0" fontId="22" fillId="18" borderId="0" xfId="0" applyFont="1" applyFill="1" applyAlignment="1">
      <alignment horizontal="left" vertical="center" indent="1"/>
    </xf>
    <xf numFmtId="0" fontId="22" fillId="16" borderId="0" xfId="0" applyFont="1" applyFill="1" applyAlignment="1">
      <alignment horizontal="left" vertical="center" indent="1"/>
    </xf>
    <xf numFmtId="0" fontId="20" fillId="0" borderId="78" xfId="1" applyFont="1" applyFill="1" applyBorder="1" applyAlignment="1" applyProtection="1">
      <alignment wrapText="1"/>
    </xf>
    <xf numFmtId="0" fontId="18" fillId="0" borderId="80" xfId="1" applyFont="1" applyFill="1" applyBorder="1" applyAlignment="1" applyProtection="1">
      <alignment horizontal="center" vertical="center" wrapText="1"/>
      <protection locked="0"/>
    </xf>
    <xf numFmtId="0" fontId="18" fillId="0" borderId="80" xfId="0" applyFont="1" applyBorder="1" applyAlignment="1" applyProtection="1">
      <alignment horizontal="center" vertical="center" wrapText="1"/>
      <protection locked="0"/>
    </xf>
    <xf numFmtId="0" fontId="21" fillId="0" borderId="74" xfId="1" applyFont="1" applyFill="1" applyBorder="1" applyAlignment="1" applyProtection="1"/>
    <xf numFmtId="0" fontId="21" fillId="0" borderId="80" xfId="1" applyFont="1" applyFill="1" applyBorder="1" applyAlignment="1" applyProtection="1">
      <alignment wrapText="1"/>
    </xf>
    <xf numFmtId="0" fontId="20" fillId="0" borderId="2" xfId="1" applyFont="1" applyFill="1" applyBorder="1" applyAlignment="1" applyProtection="1">
      <alignment wrapText="1"/>
    </xf>
    <xf numFmtId="0" fontId="18" fillId="0" borderId="2" xfId="0" applyFont="1" applyBorder="1" applyAlignment="1">
      <alignment wrapText="1"/>
    </xf>
    <xf numFmtId="14" fontId="20" fillId="17" borderId="3" xfId="0" applyNumberFormat="1" applyFont="1" applyFill="1" applyBorder="1" applyAlignment="1" applyProtection="1">
      <alignment horizontal="left" vertical="top" wrapText="1"/>
      <protection locked="0"/>
    </xf>
    <xf numFmtId="0" fontId="23" fillId="17" borderId="0" xfId="0" applyFont="1" applyFill="1" applyAlignment="1">
      <alignment horizontal="center" vertical="center"/>
    </xf>
    <xf numFmtId="166" fontId="23" fillId="17" borderId="0" xfId="0" applyNumberFormat="1" applyFont="1" applyFill="1" applyAlignment="1">
      <alignment horizontal="center" vertical="center"/>
    </xf>
    <xf numFmtId="0" fontId="9" fillId="0" borderId="18" xfId="0" applyFont="1" applyBorder="1" applyAlignment="1">
      <alignment horizontal="centerContinuous" vertical="center"/>
    </xf>
    <xf numFmtId="0" fontId="9" fillId="0" borderId="19" xfId="0" applyFont="1" applyBorder="1" applyAlignment="1">
      <alignment horizontal="centerContinuous" vertical="center"/>
    </xf>
    <xf numFmtId="0" fontId="9" fillId="0" borderId="20" xfId="0" applyFont="1" applyBorder="1" applyAlignment="1">
      <alignment horizontal="centerContinuous" vertical="center"/>
    </xf>
    <xf numFmtId="0" fontId="6" fillId="12" borderId="70" xfId="0" applyFont="1" applyFill="1" applyBorder="1" applyAlignment="1" applyProtection="1">
      <alignment horizontal="left" vertical="center" wrapText="1" indent="1"/>
      <protection locked="0"/>
    </xf>
    <xf numFmtId="0" fontId="6" fillId="12" borderId="71" xfId="0" applyFont="1" applyFill="1" applyBorder="1" applyAlignment="1" applyProtection="1">
      <alignment horizontal="left" vertical="center" wrapText="1" indent="1"/>
      <protection locked="0"/>
    </xf>
    <xf numFmtId="0" fontId="5" fillId="0" borderId="4" xfId="0" applyFont="1" applyBorder="1" applyAlignment="1">
      <alignment horizontal="center" vertical="center"/>
    </xf>
    <xf numFmtId="0" fontId="4" fillId="0" borderId="0" xfId="0" applyFont="1" applyAlignment="1">
      <alignment vertical="center"/>
    </xf>
    <xf numFmtId="0" fontId="6" fillId="13" borderId="72" xfId="0" applyFont="1" applyFill="1" applyBorder="1" applyAlignment="1">
      <alignment horizontal="left" vertical="center" indent="1"/>
    </xf>
    <xf numFmtId="0" fontId="22" fillId="13" borderId="0" xfId="0" applyFont="1" applyFill="1" applyAlignment="1">
      <alignment horizontal="center" vertical="center"/>
    </xf>
    <xf numFmtId="0" fontId="24" fillId="0" borderId="73" xfId="0" applyFont="1" applyBorder="1" applyAlignment="1" applyProtection="1">
      <alignment horizontal="left" vertical="top" wrapText="1"/>
      <protection locked="0"/>
    </xf>
    <xf numFmtId="0" fontId="0" fillId="13" borderId="71" xfId="0" applyFill="1" applyBorder="1" applyAlignment="1"/>
    <xf numFmtId="0" fontId="0" fillId="12" borderId="71" xfId="0" applyFill="1" applyBorder="1" applyAlignment="1"/>
  </cellXfs>
  <cellStyles count="3">
    <cellStyle name="Lien hypertexte" xfId="1" builtinId="8"/>
    <cellStyle name="Normal" xfId="0" builtinId="0"/>
    <cellStyle name="Normal 2" xfId="2" xr:uid="{00000000-0005-0000-0000-000002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externalLink" Target="externalLinks/externalLink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581025</xdr:colOff>
          <xdr:row>0</xdr:row>
          <xdr:rowOff>0</xdr:rowOff>
        </xdr:from>
        <xdr:to>
          <xdr:col>6</xdr:col>
          <xdr:colOff>285750</xdr:colOff>
          <xdr:row>0</xdr:row>
          <xdr:rowOff>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1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CH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Nouvelle leçon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0</xdr:row>
          <xdr:rowOff>95250</xdr:rowOff>
        </xdr:from>
        <xdr:to>
          <xdr:col>5</xdr:col>
          <xdr:colOff>0</xdr:colOff>
          <xdr:row>1</xdr:row>
          <xdr:rowOff>171450</xdr:rowOff>
        </xdr:to>
        <xdr:sp macro="" textlink="">
          <xdr:nvSpPr>
            <xdr:cNvPr id="6150" name="Button 6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1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CH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Rapatriement</a:t>
              </a:r>
            </a:p>
            <a:p>
              <a:pPr algn="ctr" rtl="0">
                <a:defRPr sz="1000"/>
              </a:pPr>
              <a:r>
                <a:rPr lang="fr-CH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Planif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581025</xdr:colOff>
          <xdr:row>0</xdr:row>
          <xdr:rowOff>0</xdr:rowOff>
        </xdr:from>
        <xdr:to>
          <xdr:col>7</xdr:col>
          <xdr:colOff>285750</xdr:colOff>
          <xdr:row>0</xdr:row>
          <xdr:rowOff>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2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CH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Nouvelle leçon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0</xdr:row>
          <xdr:rowOff>66675</xdr:rowOff>
        </xdr:from>
        <xdr:to>
          <xdr:col>5</xdr:col>
          <xdr:colOff>0</xdr:colOff>
          <xdr:row>1</xdr:row>
          <xdr:rowOff>142875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2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CH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Rapatriement</a:t>
              </a:r>
            </a:p>
            <a:p>
              <a:pPr algn="ctr" rtl="0">
                <a:defRPr sz="1000"/>
              </a:pPr>
              <a:r>
                <a:rPr lang="fr-CH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Réalisation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personal/bertrand_sahli_eduvaud_ch/Documents/_HomeDir_BSI/To%20Do/Cours2223/I122/Copie%20de%20U-122-ALL01-planification09-10PCX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Bilan"/>
      <sheetName val="Planning"/>
      <sheetName val="CIN34-RFA"/>
      <sheetName val="MIN34a-DLS"/>
      <sheetName val="MIN34b-PCX"/>
    </sheetNames>
    <sheetDataSet>
      <sheetData sheetId="0"/>
      <sheetData sheetId="1" refreshError="1"/>
      <sheetData sheetId="2" refreshError="1"/>
      <sheetData sheetId="3" refreshError="1"/>
      <sheetData sheetId="4" refreshError="1"/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hyperlink" Target="../c-Evaluation/C-254-TS2.pdf" TargetMode="External"/><Relationship Id="rId13" Type="http://schemas.openxmlformats.org/officeDocument/2006/relationships/hyperlink" Target="Odoo/o-business-game-MARCH23_V16_fr_WEB.pdf" TargetMode="External"/><Relationship Id="rId18" Type="http://schemas.openxmlformats.org/officeDocument/2006/relationships/hyperlink" Target="https://forms.office.com/e/WWHiWYmvGc" TargetMode="External"/><Relationship Id="rId3" Type="http://schemas.openxmlformats.org/officeDocument/2006/relationships/hyperlink" Target="PartiePratique/S-254-Entreprises.docx" TargetMode="External"/><Relationship Id="rId21" Type="http://schemas.openxmlformats.org/officeDocument/2006/relationships/drawing" Target="../drawings/drawing2.xml"/><Relationship Id="rId7" Type="http://schemas.openxmlformats.org/officeDocument/2006/relationships/hyperlink" Target="../c-Evaluation/C-254-AuditFormatif.docx" TargetMode="External"/><Relationship Id="rId12" Type="http://schemas.openxmlformats.org/officeDocument/2006/relationships/hyperlink" Target="Odoo/o-business-game-MARCH23_V16_fr_WEB.pdf" TargetMode="External"/><Relationship Id="rId17" Type="http://schemas.openxmlformats.org/officeDocument/2006/relationships/hyperlink" Target="..\..\P_GestProj%20254\c-Evaluation\G-GP254-FeuilleEvaluationProjets-Grp2D.xlsx" TargetMode="External"/><Relationship Id="rId2" Type="http://schemas.openxmlformats.org/officeDocument/2006/relationships/hyperlink" Target="https://www.youtube.com/watch?v=ziL9-TlvB_A&amp;list=PLSkCdDPNwJTBZKn_ajUYSXiuAA8xVq421" TargetMode="External"/><Relationship Id="rId16" Type="http://schemas.openxmlformats.org/officeDocument/2006/relationships/hyperlink" Target="PartiePratique/S-254-Entreprises.docx" TargetMode="External"/><Relationship Id="rId20" Type="http://schemas.openxmlformats.org/officeDocument/2006/relationships/printerSettings" Target="../printerSettings/printerSettings3.bin"/><Relationship Id="rId1" Type="http://schemas.openxmlformats.org/officeDocument/2006/relationships/hyperlink" Target="Odoo/o-business-game-MARCH23_V16_fr_WEB.pdf" TargetMode="External"/><Relationship Id="rId6" Type="http://schemas.openxmlformats.org/officeDocument/2006/relationships/hyperlink" Target="../../P_GestProj%20254/c-Evaluation/G-GP254-FeuilleEvaluationProjets-Grp2D.xlsx" TargetMode="External"/><Relationship Id="rId11" Type="http://schemas.openxmlformats.org/officeDocument/2006/relationships/hyperlink" Target="ECOE" TargetMode="External"/><Relationship Id="rId24" Type="http://schemas.openxmlformats.org/officeDocument/2006/relationships/ctrlProp" Target="../ctrlProps/ctrlProp4.xml"/><Relationship Id="rId5" Type="http://schemas.openxmlformats.org/officeDocument/2006/relationships/hyperlink" Target="PartiePratique/S-254-Entreprises.docx" TargetMode="External"/><Relationship Id="rId15" Type="http://schemas.openxmlformats.org/officeDocument/2006/relationships/hyperlink" Target="../../P_GestProj%20254/c-Evaluation/G-GP254-FeuilleEvaluationProjets-Grp2D.xlsx" TargetMode="External"/><Relationship Id="rId23" Type="http://schemas.openxmlformats.org/officeDocument/2006/relationships/ctrlProp" Target="../ctrlProps/ctrlProp3.xml"/><Relationship Id="rId10" Type="http://schemas.openxmlformats.org/officeDocument/2006/relationships/hyperlink" Target="ECOE/S-254-PrincipesECOE.pdf" TargetMode="External"/><Relationship Id="rId19" Type="http://schemas.openxmlformats.org/officeDocument/2006/relationships/hyperlink" Target="../../P_GestProj%20254/c-Evaluation/G-GP254-FeuilleEvaluationProjets-Grp2D.xlsx" TargetMode="External"/><Relationship Id="rId4" Type="http://schemas.openxmlformats.org/officeDocument/2006/relationships/hyperlink" Target="../../P_GestProj%20254/c-Evaluation/G-GP254-FeuilleEvaluationProjets-Grp2D.xlsx" TargetMode="External"/><Relationship Id="rId9" Type="http://schemas.openxmlformats.org/officeDocument/2006/relationships/hyperlink" Target="../c-Evaluation/X-254-TS2.xlsx" TargetMode="External"/><Relationship Id="rId14" Type="http://schemas.openxmlformats.org/officeDocument/2006/relationships/hyperlink" Target="ECOE/X-254-ProcessusMetierPates-B.pdf" TargetMode="External"/><Relationship Id="rId22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2">
    <pageSetUpPr fitToPage="1"/>
  </sheetPr>
  <dimension ref="A1:GN47"/>
  <sheetViews>
    <sheetView showGridLines="0" zoomScale="55" zoomScaleNormal="55" zoomScaleSheetLayoutView="43" workbookViewId="0">
      <selection activeCell="B31" sqref="B31:B32"/>
    </sheetView>
  </sheetViews>
  <sheetFormatPr defaultColWidth="11.42578125" defaultRowHeight="12.75"/>
  <cols>
    <col min="1" max="1" width="9.28515625" style="3" customWidth="1"/>
    <col min="2" max="2" width="51.28515625" style="3" customWidth="1"/>
    <col min="3" max="3" width="15.5703125" style="3" bestFit="1" customWidth="1"/>
    <col min="4" max="195" width="1.7109375" style="3" customWidth="1"/>
    <col min="196" max="16384" width="11.42578125" style="3"/>
  </cols>
  <sheetData>
    <row r="1" spans="1:196" ht="35.1" customHeight="1">
      <c r="A1" s="19"/>
      <c r="B1" s="201" t="s">
        <v>0</v>
      </c>
      <c r="C1" s="201"/>
      <c r="D1" s="12"/>
      <c r="E1" s="12"/>
      <c r="F1" s="12"/>
      <c r="G1" s="12"/>
      <c r="H1" s="12"/>
      <c r="I1" s="12"/>
      <c r="J1" s="12"/>
      <c r="K1" s="12"/>
      <c r="L1" s="12"/>
      <c r="M1" s="12"/>
      <c r="N1" s="12"/>
      <c r="O1" s="12"/>
      <c r="P1" s="12"/>
      <c r="Q1" s="12"/>
      <c r="R1" s="12"/>
      <c r="S1" s="12"/>
      <c r="T1" s="12"/>
      <c r="U1" s="12"/>
      <c r="V1" s="12"/>
      <c r="W1" s="12"/>
      <c r="X1" s="12"/>
      <c r="Y1" s="12"/>
      <c r="Z1" s="12"/>
      <c r="AA1" s="12"/>
      <c r="AB1" s="12"/>
      <c r="AC1" s="12"/>
      <c r="AD1" s="12"/>
      <c r="AE1" s="12"/>
      <c r="AF1" s="12"/>
      <c r="AG1" s="12"/>
      <c r="AH1" s="12"/>
      <c r="AI1" s="12"/>
      <c r="AJ1" s="12"/>
      <c r="AK1" s="12"/>
      <c r="AL1" s="12"/>
      <c r="AM1" s="12"/>
      <c r="AN1" s="12"/>
      <c r="AO1" s="12"/>
      <c r="AP1" s="12"/>
      <c r="AQ1" s="12"/>
      <c r="AR1" s="12"/>
      <c r="AS1" s="12"/>
      <c r="AT1" s="12"/>
      <c r="AU1" s="12"/>
      <c r="AV1" s="12"/>
      <c r="AW1" s="12"/>
      <c r="AX1" s="12"/>
      <c r="AY1" s="12"/>
      <c r="AZ1" s="12"/>
      <c r="BA1" s="12"/>
      <c r="BB1" s="12"/>
      <c r="BC1" s="12"/>
      <c r="BD1" s="12"/>
      <c r="BE1" s="12"/>
      <c r="BF1" s="12"/>
      <c r="BG1" s="12"/>
      <c r="BH1" s="12"/>
      <c r="BI1" s="12"/>
      <c r="BJ1" s="12"/>
      <c r="BK1" s="12"/>
      <c r="BL1" s="12"/>
      <c r="BM1" s="12"/>
      <c r="BN1" s="12"/>
      <c r="BO1" s="12"/>
      <c r="BP1" s="12"/>
      <c r="BQ1" s="12"/>
      <c r="BR1" s="12"/>
      <c r="BS1" s="12"/>
      <c r="BT1" s="12"/>
      <c r="BU1" s="12"/>
      <c r="BV1" s="12"/>
      <c r="BW1" s="12"/>
      <c r="BX1" s="12"/>
      <c r="BY1" s="12"/>
      <c r="BZ1" s="12"/>
      <c r="CA1" s="12"/>
      <c r="CB1" s="12"/>
      <c r="CC1" s="12"/>
      <c r="CD1" s="12"/>
      <c r="CE1" s="12"/>
      <c r="CF1" s="12"/>
      <c r="CG1" s="12"/>
      <c r="CH1" s="12"/>
      <c r="CI1" s="12"/>
      <c r="CJ1" s="12"/>
      <c r="CK1" s="12"/>
      <c r="CL1" s="12"/>
      <c r="CM1" s="12"/>
      <c r="CN1" s="12"/>
      <c r="CO1" s="12"/>
      <c r="CP1" s="12"/>
      <c r="CQ1" s="12"/>
      <c r="CR1" s="12"/>
      <c r="CS1" s="12"/>
      <c r="CT1" s="12"/>
      <c r="CU1" s="12"/>
      <c r="CV1" s="12"/>
      <c r="CW1" s="12"/>
      <c r="CX1" s="12"/>
      <c r="CY1" s="12"/>
      <c r="CZ1" s="12"/>
      <c r="DA1" s="12"/>
      <c r="DB1" s="12"/>
      <c r="DC1" s="12"/>
      <c r="DD1" s="12"/>
      <c r="DE1" s="12"/>
      <c r="DF1" s="12"/>
      <c r="DG1" s="12"/>
      <c r="DH1" s="12"/>
      <c r="DI1" s="12"/>
      <c r="DJ1" s="12"/>
      <c r="DK1" s="12"/>
      <c r="DL1" s="12"/>
      <c r="DM1" s="12"/>
      <c r="DN1" s="12"/>
      <c r="DO1" s="12"/>
      <c r="DP1" s="12"/>
      <c r="DQ1" s="12"/>
      <c r="DR1" s="12"/>
      <c r="DS1" s="12"/>
      <c r="DT1" s="12"/>
      <c r="DU1" s="12"/>
      <c r="DV1" s="12"/>
      <c r="DW1" s="12"/>
      <c r="DX1" s="12"/>
      <c r="DY1" s="12"/>
      <c r="DZ1" s="12"/>
      <c r="EA1" s="12"/>
      <c r="EB1" s="12"/>
      <c r="EC1" s="12"/>
      <c r="ED1" s="12"/>
      <c r="EE1" s="12"/>
      <c r="EF1" s="12"/>
      <c r="EG1" s="12"/>
      <c r="EH1" s="12"/>
      <c r="EI1" s="12"/>
      <c r="EJ1" s="12"/>
      <c r="EK1" s="12"/>
      <c r="EL1" s="12"/>
      <c r="EM1" s="12"/>
      <c r="EN1" s="12"/>
      <c r="EO1" s="12"/>
      <c r="EP1" s="12"/>
      <c r="EQ1" s="12"/>
      <c r="ER1" s="12"/>
      <c r="ES1" s="12"/>
      <c r="ET1" s="12"/>
      <c r="EU1" s="12"/>
      <c r="EV1" s="12"/>
      <c r="EW1" s="12"/>
      <c r="EX1" s="12"/>
      <c r="EY1" s="12"/>
      <c r="EZ1" s="12"/>
      <c r="FA1" s="12"/>
      <c r="FB1" s="12"/>
      <c r="FC1" s="12"/>
      <c r="FD1" s="12"/>
      <c r="FE1" s="12"/>
      <c r="FF1" s="12"/>
      <c r="FG1" s="12"/>
      <c r="FH1" s="12"/>
      <c r="FI1" s="12"/>
      <c r="FJ1" s="12"/>
      <c r="FK1" s="12"/>
      <c r="FL1" s="12"/>
      <c r="FM1" s="12"/>
      <c r="FN1" s="12"/>
      <c r="FO1" s="12"/>
      <c r="FP1" s="12"/>
      <c r="FQ1" s="12"/>
      <c r="FR1" s="12"/>
      <c r="FS1" s="12"/>
      <c r="FT1" s="12"/>
      <c r="FU1" s="12"/>
      <c r="FV1" s="12"/>
      <c r="FW1" s="12"/>
      <c r="FX1" s="12"/>
      <c r="FY1" s="12"/>
      <c r="FZ1" s="12"/>
      <c r="GA1" s="12"/>
      <c r="GB1" s="12"/>
      <c r="GC1" s="12"/>
      <c r="GD1" s="12"/>
      <c r="GE1" s="12"/>
      <c r="GF1" s="12"/>
      <c r="GG1" s="12"/>
      <c r="GH1" s="12"/>
      <c r="GI1" s="12"/>
      <c r="GJ1" s="12"/>
      <c r="GK1" s="12"/>
      <c r="GL1" s="12"/>
      <c r="GM1" s="12"/>
      <c r="GN1" s="20"/>
    </row>
    <row r="2" spans="1:196" ht="13.5" thickBot="1">
      <c r="A2" s="21"/>
      <c r="B2" s="7"/>
      <c r="C2" s="7"/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  <c r="GE2"/>
      <c r="GF2"/>
      <c r="GG2"/>
      <c r="GH2"/>
      <c r="GI2"/>
      <c r="GJ2"/>
      <c r="GK2"/>
      <c r="GL2"/>
      <c r="GM2"/>
      <c r="GN2" s="22"/>
    </row>
    <row r="3" spans="1:196" ht="30" customHeight="1">
      <c r="A3" s="21"/>
      <c r="B3" s="67" t="s">
        <v>1</v>
      </c>
      <c r="C3" s="88" t="s">
        <v>2</v>
      </c>
      <c r="D3" s="89"/>
      <c r="E3" s="89"/>
      <c r="F3" s="89"/>
      <c r="G3" s="89"/>
      <c r="H3" s="89"/>
      <c r="I3" s="89"/>
      <c r="J3" s="89"/>
      <c r="K3" s="89"/>
      <c r="L3" s="89"/>
      <c r="M3" s="89"/>
      <c r="N3" s="89"/>
      <c r="O3" s="89"/>
      <c r="P3" s="89"/>
      <c r="Q3" s="89"/>
      <c r="R3" s="89"/>
      <c r="S3" s="89"/>
      <c r="T3" s="89"/>
      <c r="U3" s="89"/>
      <c r="V3" s="89"/>
      <c r="W3" s="89"/>
      <c r="X3" s="89"/>
      <c r="Y3" s="89"/>
      <c r="Z3" s="89"/>
      <c r="AA3" s="89"/>
      <c r="AB3" s="89"/>
      <c r="AC3" s="89"/>
      <c r="AD3" s="89"/>
      <c r="AE3" s="89"/>
      <c r="AF3" s="89"/>
      <c r="AG3" s="89"/>
      <c r="AH3" s="89"/>
      <c r="AI3" s="89"/>
      <c r="AJ3" s="89"/>
      <c r="AK3" s="89"/>
      <c r="AL3" s="89"/>
      <c r="AM3" s="89"/>
      <c r="AN3" s="89"/>
      <c r="AO3" s="89"/>
      <c r="AP3" s="89"/>
      <c r="AQ3" s="89"/>
      <c r="AR3" s="89"/>
      <c r="AS3" s="89"/>
      <c r="AT3" s="89"/>
      <c r="AU3" s="89"/>
      <c r="AV3" s="89"/>
      <c r="AW3" s="89"/>
      <c r="AX3" s="89"/>
      <c r="AY3" s="89"/>
      <c r="AZ3" s="89"/>
      <c r="BA3" s="89"/>
      <c r="BB3" s="89"/>
      <c r="BC3" s="89"/>
      <c r="BD3" s="89"/>
      <c r="BE3" s="89"/>
      <c r="BF3" s="89"/>
      <c r="BG3" s="89"/>
      <c r="BH3" s="89"/>
      <c r="BI3" s="89"/>
      <c r="BJ3" s="89"/>
      <c r="BK3" s="89"/>
      <c r="BL3" s="89"/>
      <c r="BM3" s="89"/>
      <c r="BN3" s="89"/>
      <c r="BO3" s="89"/>
      <c r="BP3" s="89"/>
      <c r="BQ3" s="89"/>
      <c r="BR3" s="89"/>
      <c r="BS3" s="89"/>
      <c r="BT3" s="89"/>
      <c r="BU3" s="89"/>
      <c r="BV3" s="89"/>
      <c r="BW3" s="89"/>
      <c r="BX3" s="89"/>
      <c r="BY3" s="89"/>
      <c r="BZ3" s="89"/>
      <c r="CA3" s="89"/>
      <c r="CB3" s="89"/>
      <c r="CC3" s="89"/>
      <c r="CD3" s="89"/>
      <c r="CE3" s="89"/>
      <c r="CF3" s="89"/>
      <c r="CG3" s="89"/>
      <c r="CH3" s="89"/>
      <c r="CI3" s="89"/>
      <c r="CJ3" s="89"/>
      <c r="CK3" s="89"/>
      <c r="CL3" s="89"/>
      <c r="CM3" s="89"/>
      <c r="CN3" s="89"/>
      <c r="CO3" s="89"/>
      <c r="CP3" s="89"/>
      <c r="CQ3" s="89"/>
      <c r="CR3" s="89"/>
      <c r="CS3" s="89"/>
      <c r="CT3" s="89"/>
      <c r="CU3" s="89"/>
      <c r="CV3" s="89"/>
      <c r="CW3" s="89"/>
      <c r="CX3" s="89"/>
      <c r="CY3" s="89"/>
      <c r="CZ3" s="89"/>
      <c r="DA3" s="89"/>
      <c r="DB3" s="89"/>
      <c r="DC3" s="89"/>
      <c r="DD3" s="89"/>
      <c r="DE3" s="89"/>
      <c r="DF3" s="89"/>
      <c r="DG3" s="89"/>
      <c r="DH3" s="89"/>
      <c r="DI3" s="89"/>
      <c r="DJ3" s="89"/>
      <c r="DK3" s="89"/>
      <c r="DL3" s="89"/>
      <c r="DM3" s="89"/>
      <c r="DN3" s="89"/>
      <c r="DO3" s="89"/>
      <c r="DP3" s="89"/>
      <c r="DQ3" s="89"/>
      <c r="DR3" s="89"/>
      <c r="DS3" s="89"/>
      <c r="DT3" s="89"/>
      <c r="DU3" s="89"/>
      <c r="DV3" s="89"/>
      <c r="DW3" s="89"/>
      <c r="DX3" s="89"/>
      <c r="DY3" s="89"/>
      <c r="DZ3" s="89"/>
      <c r="EA3" s="89"/>
      <c r="EB3" s="89"/>
      <c r="EC3" s="89"/>
      <c r="ED3" s="89"/>
      <c r="EE3" s="89"/>
      <c r="EF3" s="89"/>
      <c r="EG3" s="89"/>
      <c r="EH3" s="89"/>
      <c r="EI3" s="89"/>
      <c r="EJ3" s="89"/>
      <c r="EK3" s="89"/>
      <c r="EL3" s="89"/>
      <c r="EM3" s="89"/>
      <c r="EN3" s="89"/>
      <c r="EO3" s="89"/>
      <c r="EP3" s="89"/>
      <c r="EQ3" s="89"/>
      <c r="ER3" s="89"/>
      <c r="ES3" s="89"/>
      <c r="ET3" s="89"/>
      <c r="EU3" s="89"/>
      <c r="EV3" s="89"/>
      <c r="EW3" s="89"/>
      <c r="EX3" s="89"/>
      <c r="EY3" s="89"/>
      <c r="EZ3" s="89"/>
      <c r="FA3" s="89"/>
      <c r="FB3" s="89"/>
      <c r="FC3" s="89"/>
      <c r="FD3" s="89"/>
      <c r="FE3" s="89"/>
      <c r="FF3" s="89"/>
      <c r="FG3" s="89"/>
      <c r="FH3" s="89"/>
      <c r="FI3" s="89"/>
      <c r="FJ3" s="89"/>
      <c r="FK3" s="89"/>
      <c r="FL3" s="89"/>
      <c r="FM3" s="89"/>
      <c r="FN3" s="89"/>
      <c r="FO3" s="89"/>
      <c r="FP3" s="89"/>
      <c r="FQ3" s="89"/>
      <c r="FR3" s="89"/>
      <c r="FS3" s="89"/>
      <c r="FT3" s="89"/>
      <c r="FU3" s="89"/>
      <c r="FV3" s="89"/>
      <c r="FW3" s="89"/>
      <c r="FX3" s="89"/>
      <c r="FY3" s="89"/>
      <c r="FZ3" s="89"/>
      <c r="GA3" s="89"/>
      <c r="GB3" s="89"/>
      <c r="GC3" s="89"/>
      <c r="GD3" s="89"/>
      <c r="GE3" s="89"/>
      <c r="GF3" s="89"/>
      <c r="GG3" s="89"/>
      <c r="GH3" s="89"/>
      <c r="GI3" s="89"/>
      <c r="GJ3" s="89"/>
      <c r="GK3" s="89"/>
      <c r="GL3" s="89"/>
      <c r="GM3" s="90"/>
      <c r="GN3" s="22"/>
    </row>
    <row r="4" spans="1:196" ht="30" customHeight="1">
      <c r="A4" s="21"/>
      <c r="B4" s="68" t="s">
        <v>3</v>
      </c>
      <c r="C4" s="91" t="s">
        <v>4</v>
      </c>
      <c r="D4" s="92"/>
      <c r="E4" s="92"/>
      <c r="F4" s="92"/>
      <c r="G4" s="92"/>
      <c r="H4" s="92"/>
      <c r="I4" s="92"/>
      <c r="J4" s="92"/>
      <c r="K4" s="92"/>
      <c r="L4" s="92"/>
      <c r="M4" s="92"/>
      <c r="N4" s="92"/>
      <c r="O4" s="92"/>
      <c r="P4" s="92"/>
      <c r="Q4" s="92"/>
      <c r="R4" s="92"/>
      <c r="S4" s="92"/>
      <c r="T4" s="92"/>
      <c r="U4" s="92"/>
      <c r="V4" s="92"/>
      <c r="W4" s="92"/>
      <c r="X4" s="92"/>
      <c r="Y4" s="92"/>
      <c r="Z4" s="92"/>
      <c r="AA4" s="92"/>
      <c r="AB4" s="92"/>
      <c r="AC4" s="92"/>
      <c r="AD4" s="92"/>
      <c r="AE4" s="92"/>
      <c r="AF4" s="92"/>
      <c r="AG4" s="92"/>
      <c r="AH4" s="92"/>
      <c r="AI4" s="92"/>
      <c r="AJ4" s="92"/>
      <c r="AK4" s="92"/>
      <c r="AL4" s="92"/>
      <c r="AM4" s="92"/>
      <c r="AN4" s="92"/>
      <c r="AO4" s="92"/>
      <c r="AP4" s="92"/>
      <c r="AQ4" s="92"/>
      <c r="AR4" s="92"/>
      <c r="AS4" s="92"/>
      <c r="AT4" s="92"/>
      <c r="AU4" s="92"/>
      <c r="AV4" s="92"/>
      <c r="AW4" s="92"/>
      <c r="AX4" s="92"/>
      <c r="AY4" s="92"/>
      <c r="AZ4" s="92"/>
      <c r="BA4" s="92"/>
      <c r="BB4" s="92"/>
      <c r="BC4" s="92"/>
      <c r="BD4" s="92"/>
      <c r="BE4" s="92"/>
      <c r="BF4" s="92"/>
      <c r="BG4" s="92"/>
      <c r="BH4" s="92"/>
      <c r="BI4" s="92"/>
      <c r="BJ4" s="92"/>
      <c r="BK4" s="92"/>
      <c r="BL4" s="92"/>
      <c r="BM4" s="92"/>
      <c r="BN4" s="92"/>
      <c r="BO4" s="92"/>
      <c r="BP4" s="92"/>
      <c r="BQ4" s="92"/>
      <c r="BR4" s="92"/>
      <c r="BS4" s="92"/>
      <c r="BT4" s="92"/>
      <c r="BU4" s="92"/>
      <c r="BV4" s="92"/>
      <c r="BW4" s="92"/>
      <c r="BX4" s="92"/>
      <c r="BY4" s="92"/>
      <c r="BZ4" s="92"/>
      <c r="CA4" s="92"/>
      <c r="CB4" s="92"/>
      <c r="CC4" s="92"/>
      <c r="CD4" s="92"/>
      <c r="CE4" s="92"/>
      <c r="CF4" s="92"/>
      <c r="CG4" s="92"/>
      <c r="CH4" s="92"/>
      <c r="CI4" s="92"/>
      <c r="CJ4" s="92"/>
      <c r="CK4" s="92"/>
      <c r="CL4" s="92"/>
      <c r="CM4" s="92"/>
      <c r="CN4" s="92"/>
      <c r="CO4" s="92"/>
      <c r="CP4" s="92"/>
      <c r="CQ4" s="92"/>
      <c r="CR4" s="92"/>
      <c r="CS4" s="92"/>
      <c r="CT4" s="92"/>
      <c r="CU4" s="92"/>
      <c r="CV4" s="92"/>
      <c r="CW4" s="92"/>
      <c r="CX4" s="92"/>
      <c r="CY4" s="92"/>
      <c r="CZ4" s="92"/>
      <c r="DA4" s="92"/>
      <c r="DB4" s="92"/>
      <c r="DC4" s="92"/>
      <c r="DD4" s="92"/>
      <c r="DE4" s="92"/>
      <c r="DF4" s="92"/>
      <c r="DG4" s="92"/>
      <c r="DH4" s="92"/>
      <c r="DI4" s="92"/>
      <c r="DJ4" s="92"/>
      <c r="DK4" s="92"/>
      <c r="DL4" s="92"/>
      <c r="DM4" s="92"/>
      <c r="DN4" s="92"/>
      <c r="DO4" s="92"/>
      <c r="DP4" s="92"/>
      <c r="DQ4" s="92"/>
      <c r="DR4" s="92"/>
      <c r="DS4" s="92"/>
      <c r="DT4" s="92"/>
      <c r="DU4" s="92"/>
      <c r="DV4" s="92"/>
      <c r="DW4" s="92"/>
      <c r="DX4" s="92"/>
      <c r="DY4" s="92"/>
      <c r="DZ4" s="92"/>
      <c r="EA4" s="92"/>
      <c r="EB4" s="92"/>
      <c r="EC4" s="92"/>
      <c r="ED4" s="92"/>
      <c r="EE4" s="92"/>
      <c r="EF4" s="92"/>
      <c r="EG4" s="92"/>
      <c r="EH4" s="92"/>
      <c r="EI4" s="92"/>
      <c r="EJ4" s="92"/>
      <c r="EK4" s="92"/>
      <c r="EL4" s="92"/>
      <c r="EM4" s="92"/>
      <c r="EN4" s="92"/>
      <c r="EO4" s="92"/>
      <c r="EP4" s="92"/>
      <c r="EQ4" s="92"/>
      <c r="ER4" s="92"/>
      <c r="ES4" s="92"/>
      <c r="ET4" s="92"/>
      <c r="EU4" s="92"/>
      <c r="EV4" s="92"/>
      <c r="EW4" s="92"/>
      <c r="EX4" s="92"/>
      <c r="EY4" s="92"/>
      <c r="EZ4" s="92"/>
      <c r="FA4" s="92"/>
      <c r="FB4" s="92"/>
      <c r="FC4" s="92"/>
      <c r="FD4" s="92"/>
      <c r="FE4" s="92"/>
      <c r="FF4" s="92"/>
      <c r="FG4" s="92"/>
      <c r="FH4" s="92"/>
      <c r="FI4" s="92"/>
      <c r="FJ4" s="92"/>
      <c r="FK4" s="92"/>
      <c r="FL4" s="92"/>
      <c r="FM4" s="92"/>
      <c r="FN4" s="92"/>
      <c r="FO4" s="92"/>
      <c r="FP4" s="92"/>
      <c r="FQ4" s="92"/>
      <c r="FR4" s="92"/>
      <c r="FS4" s="92"/>
      <c r="FT4" s="92"/>
      <c r="FU4" s="92"/>
      <c r="FV4" s="92"/>
      <c r="FW4" s="92"/>
      <c r="FX4" s="92"/>
      <c r="FY4" s="92"/>
      <c r="FZ4" s="92"/>
      <c r="GA4" s="92"/>
      <c r="GB4" s="92"/>
      <c r="GC4" s="92"/>
      <c r="GD4" s="92"/>
      <c r="GE4" s="92"/>
      <c r="GF4" s="92"/>
      <c r="GG4" s="92"/>
      <c r="GH4" s="92"/>
      <c r="GI4" s="92"/>
      <c r="GJ4" s="92"/>
      <c r="GK4" s="92"/>
      <c r="GL4" s="92"/>
      <c r="GM4" s="93"/>
      <c r="GN4" s="22"/>
    </row>
    <row r="5" spans="1:196" ht="30" customHeight="1">
      <c r="A5" s="21"/>
      <c r="B5" s="68" t="s">
        <v>5</v>
      </c>
      <c r="C5" s="91" t="s">
        <v>6</v>
      </c>
      <c r="D5" s="92"/>
      <c r="E5" s="92"/>
      <c r="F5" s="92"/>
      <c r="G5" s="92"/>
      <c r="H5" s="92"/>
      <c r="I5" s="92"/>
      <c r="J5" s="92"/>
      <c r="K5" s="92"/>
      <c r="L5" s="92"/>
      <c r="M5" s="92"/>
      <c r="N5" s="92"/>
      <c r="O5" s="92"/>
      <c r="P5" s="92"/>
      <c r="Q5" s="92"/>
      <c r="R5" s="92"/>
      <c r="S5" s="92"/>
      <c r="T5" s="92"/>
      <c r="U5" s="92"/>
      <c r="V5" s="92"/>
      <c r="W5" s="92"/>
      <c r="X5" s="92"/>
      <c r="Y5" s="92"/>
      <c r="Z5" s="92"/>
      <c r="AA5" s="92"/>
      <c r="AB5" s="92"/>
      <c r="AC5" s="92"/>
      <c r="AD5" s="92"/>
      <c r="AE5" s="92"/>
      <c r="AF5" s="92"/>
      <c r="AG5" s="92"/>
      <c r="AH5" s="92"/>
      <c r="AI5" s="92"/>
      <c r="AJ5" s="92"/>
      <c r="AK5" s="92"/>
      <c r="AL5" s="92"/>
      <c r="AM5" s="92"/>
      <c r="AN5" s="92"/>
      <c r="AO5" s="92"/>
      <c r="AP5" s="92"/>
      <c r="AQ5" s="92"/>
      <c r="AR5" s="92"/>
      <c r="AS5" s="92"/>
      <c r="AT5" s="92"/>
      <c r="AU5" s="92"/>
      <c r="AV5" s="92"/>
      <c r="AW5" s="92"/>
      <c r="AX5" s="92"/>
      <c r="AY5" s="92"/>
      <c r="AZ5" s="92"/>
      <c r="BA5" s="92"/>
      <c r="BB5" s="92"/>
      <c r="BC5" s="92"/>
      <c r="BD5" s="92"/>
      <c r="BE5" s="92"/>
      <c r="BF5" s="92"/>
      <c r="BG5" s="92"/>
      <c r="BH5" s="92"/>
      <c r="BI5" s="92"/>
      <c r="BJ5" s="92"/>
      <c r="BK5" s="92"/>
      <c r="BL5" s="92"/>
      <c r="BM5" s="92"/>
      <c r="BN5" s="92"/>
      <c r="BO5" s="92"/>
      <c r="BP5" s="92"/>
      <c r="BQ5" s="92"/>
      <c r="BR5" s="92"/>
      <c r="BS5" s="92"/>
      <c r="BT5" s="92"/>
      <c r="BU5" s="92"/>
      <c r="BV5" s="92"/>
      <c r="BW5" s="92"/>
      <c r="BX5" s="92"/>
      <c r="BY5" s="92"/>
      <c r="BZ5" s="92"/>
      <c r="CA5" s="92"/>
      <c r="CB5" s="92"/>
      <c r="CC5" s="92"/>
      <c r="CD5" s="92"/>
      <c r="CE5" s="92"/>
      <c r="CF5" s="92"/>
      <c r="CG5" s="92"/>
      <c r="CH5" s="92"/>
      <c r="CI5" s="92"/>
      <c r="CJ5" s="92"/>
      <c r="CK5" s="92"/>
      <c r="CL5" s="92"/>
      <c r="CM5" s="92"/>
      <c r="CN5" s="92"/>
      <c r="CO5" s="92"/>
      <c r="CP5" s="92"/>
      <c r="CQ5" s="92"/>
      <c r="CR5" s="92"/>
      <c r="CS5" s="92"/>
      <c r="CT5" s="92"/>
      <c r="CU5" s="92"/>
      <c r="CV5" s="92"/>
      <c r="CW5" s="92"/>
      <c r="CX5" s="92"/>
      <c r="CY5" s="92"/>
      <c r="CZ5" s="92"/>
      <c r="DA5" s="92"/>
      <c r="DB5" s="92"/>
      <c r="DC5" s="92"/>
      <c r="DD5" s="92"/>
      <c r="DE5" s="92"/>
      <c r="DF5" s="92"/>
      <c r="DG5" s="92"/>
      <c r="DH5" s="92"/>
      <c r="DI5" s="92"/>
      <c r="DJ5" s="92"/>
      <c r="DK5" s="92"/>
      <c r="DL5" s="92"/>
      <c r="DM5" s="92"/>
      <c r="DN5" s="92"/>
      <c r="DO5" s="92"/>
      <c r="DP5" s="92"/>
      <c r="DQ5" s="92"/>
      <c r="DR5" s="92"/>
      <c r="DS5" s="92"/>
      <c r="DT5" s="92"/>
      <c r="DU5" s="92"/>
      <c r="DV5" s="92"/>
      <c r="DW5" s="92"/>
      <c r="DX5" s="92"/>
      <c r="DY5" s="92"/>
      <c r="DZ5" s="92"/>
      <c r="EA5" s="92"/>
      <c r="EB5" s="92"/>
      <c r="EC5" s="92"/>
      <c r="ED5" s="92"/>
      <c r="EE5" s="92"/>
      <c r="EF5" s="92"/>
      <c r="EG5" s="92"/>
      <c r="EH5" s="92"/>
      <c r="EI5" s="92"/>
      <c r="EJ5" s="92"/>
      <c r="EK5" s="92"/>
      <c r="EL5" s="92"/>
      <c r="EM5" s="92"/>
      <c r="EN5" s="92"/>
      <c r="EO5" s="92"/>
      <c r="EP5" s="92"/>
      <c r="EQ5" s="92"/>
      <c r="ER5" s="92"/>
      <c r="ES5" s="92"/>
      <c r="ET5" s="92"/>
      <c r="EU5" s="92"/>
      <c r="EV5" s="92"/>
      <c r="EW5" s="92"/>
      <c r="EX5" s="92"/>
      <c r="EY5" s="92"/>
      <c r="EZ5" s="92"/>
      <c r="FA5" s="92"/>
      <c r="FB5" s="92"/>
      <c r="FC5" s="92"/>
      <c r="FD5" s="92"/>
      <c r="FE5" s="92"/>
      <c r="FF5" s="92"/>
      <c r="FG5" s="92"/>
      <c r="FH5" s="92"/>
      <c r="FI5" s="92"/>
      <c r="FJ5" s="92"/>
      <c r="FK5" s="92"/>
      <c r="FL5" s="92"/>
      <c r="FM5" s="92"/>
      <c r="FN5" s="92"/>
      <c r="FO5" s="92"/>
      <c r="FP5" s="92"/>
      <c r="FQ5" s="92"/>
      <c r="FR5" s="92"/>
      <c r="FS5" s="92"/>
      <c r="FT5" s="92"/>
      <c r="FU5" s="92"/>
      <c r="FV5" s="92"/>
      <c r="FW5" s="92"/>
      <c r="FX5" s="92"/>
      <c r="FY5" s="92"/>
      <c r="FZ5" s="92"/>
      <c r="GA5" s="92"/>
      <c r="GB5" s="92"/>
      <c r="GC5" s="92"/>
      <c r="GD5" s="92"/>
      <c r="GE5" s="92"/>
      <c r="GF5" s="92"/>
      <c r="GG5" s="92"/>
      <c r="GH5" s="92"/>
      <c r="GI5" s="92"/>
      <c r="GJ5" s="92"/>
      <c r="GK5" s="92"/>
      <c r="GL5" s="92"/>
      <c r="GM5" s="93"/>
      <c r="GN5" s="22"/>
    </row>
    <row r="6" spans="1:196" ht="30" customHeight="1" thickBot="1">
      <c r="A6" s="21"/>
      <c r="B6" s="69" t="s">
        <v>7</v>
      </c>
      <c r="C6" s="94" t="s">
        <v>8</v>
      </c>
      <c r="D6" s="95"/>
      <c r="E6" s="95"/>
      <c r="F6" s="95"/>
      <c r="G6" s="95"/>
      <c r="H6" s="95"/>
      <c r="I6" s="95"/>
      <c r="J6" s="95"/>
      <c r="K6" s="95"/>
      <c r="L6" s="95"/>
      <c r="M6" s="95"/>
      <c r="N6" s="95"/>
      <c r="O6" s="95"/>
      <c r="P6" s="95"/>
      <c r="Q6" s="95"/>
      <c r="R6" s="95"/>
      <c r="S6" s="95"/>
      <c r="T6" s="95"/>
      <c r="U6" s="95"/>
      <c r="V6" s="95"/>
      <c r="W6" s="95"/>
      <c r="X6" s="95"/>
      <c r="Y6" s="95"/>
      <c r="Z6" s="95"/>
      <c r="AA6" s="95"/>
      <c r="AB6" s="95"/>
      <c r="AC6" s="95"/>
      <c r="AD6" s="95"/>
      <c r="AE6" s="95"/>
      <c r="AF6" s="95"/>
      <c r="AG6" s="95"/>
      <c r="AH6" s="95"/>
      <c r="AI6" s="95"/>
      <c r="AJ6" s="95"/>
      <c r="AK6" s="95"/>
      <c r="AL6" s="95"/>
      <c r="AM6" s="95"/>
      <c r="AN6" s="95"/>
      <c r="AO6" s="95"/>
      <c r="AP6" s="95"/>
      <c r="AQ6" s="95"/>
      <c r="AR6" s="95"/>
      <c r="AS6" s="95"/>
      <c r="AT6" s="95"/>
      <c r="AU6" s="95"/>
      <c r="AV6" s="95"/>
      <c r="AW6" s="95"/>
      <c r="AX6" s="95"/>
      <c r="AY6" s="95"/>
      <c r="AZ6" s="95"/>
      <c r="BA6" s="95"/>
      <c r="BB6" s="95"/>
      <c r="BC6" s="95"/>
      <c r="BD6" s="95"/>
      <c r="BE6" s="95"/>
      <c r="BF6" s="95"/>
      <c r="BG6" s="95"/>
      <c r="BH6" s="95"/>
      <c r="BI6" s="95"/>
      <c r="BJ6" s="95"/>
      <c r="BK6" s="95"/>
      <c r="BL6" s="95"/>
      <c r="BM6" s="95"/>
      <c r="BN6" s="95"/>
      <c r="BO6" s="95"/>
      <c r="BP6" s="95"/>
      <c r="BQ6" s="95"/>
      <c r="BR6" s="95"/>
      <c r="BS6" s="95"/>
      <c r="BT6" s="95"/>
      <c r="BU6" s="95"/>
      <c r="BV6" s="95"/>
      <c r="BW6" s="95"/>
      <c r="BX6" s="95"/>
      <c r="BY6" s="95"/>
      <c r="BZ6" s="95"/>
      <c r="CA6" s="95"/>
      <c r="CB6" s="95"/>
      <c r="CC6" s="95"/>
      <c r="CD6" s="95"/>
      <c r="CE6" s="95"/>
      <c r="CF6" s="95"/>
      <c r="CG6" s="95"/>
      <c r="CH6" s="95"/>
      <c r="CI6" s="95"/>
      <c r="CJ6" s="95"/>
      <c r="CK6" s="95"/>
      <c r="CL6" s="95"/>
      <c r="CM6" s="95"/>
      <c r="CN6" s="95"/>
      <c r="CO6" s="95"/>
      <c r="CP6" s="95"/>
      <c r="CQ6" s="95"/>
      <c r="CR6" s="95"/>
      <c r="CS6" s="95"/>
      <c r="CT6" s="95"/>
      <c r="CU6" s="95"/>
      <c r="CV6" s="95"/>
      <c r="CW6" s="95"/>
      <c r="CX6" s="95"/>
      <c r="CY6" s="95"/>
      <c r="CZ6" s="95"/>
      <c r="DA6" s="95"/>
      <c r="DB6" s="95"/>
      <c r="DC6" s="95"/>
      <c r="DD6" s="95"/>
      <c r="DE6" s="95"/>
      <c r="DF6" s="95"/>
      <c r="DG6" s="95"/>
      <c r="DH6" s="95"/>
      <c r="DI6" s="95"/>
      <c r="DJ6" s="95"/>
      <c r="DK6" s="95"/>
      <c r="DL6" s="95"/>
      <c r="DM6" s="95"/>
      <c r="DN6" s="95"/>
      <c r="DO6" s="95"/>
      <c r="DP6" s="95"/>
      <c r="DQ6" s="95"/>
      <c r="DR6" s="95"/>
      <c r="DS6" s="95"/>
      <c r="DT6" s="95"/>
      <c r="DU6" s="95"/>
      <c r="DV6" s="95"/>
      <c r="DW6" s="95"/>
      <c r="DX6" s="95"/>
      <c r="DY6" s="95"/>
      <c r="DZ6" s="95"/>
      <c r="EA6" s="95"/>
      <c r="EB6" s="95"/>
      <c r="EC6" s="95"/>
      <c r="ED6" s="95"/>
      <c r="EE6" s="95"/>
      <c r="EF6" s="95"/>
      <c r="EG6" s="95"/>
      <c r="EH6" s="95"/>
      <c r="EI6" s="95"/>
      <c r="EJ6" s="95"/>
      <c r="EK6" s="95"/>
      <c r="EL6" s="95"/>
      <c r="EM6" s="95"/>
      <c r="EN6" s="95"/>
      <c r="EO6" s="95"/>
      <c r="EP6" s="95"/>
      <c r="EQ6" s="95"/>
      <c r="ER6" s="95"/>
      <c r="ES6" s="95"/>
      <c r="ET6" s="95"/>
      <c r="EU6" s="95"/>
      <c r="EV6" s="95"/>
      <c r="EW6" s="95"/>
      <c r="EX6" s="95"/>
      <c r="EY6" s="95"/>
      <c r="EZ6" s="95"/>
      <c r="FA6" s="95"/>
      <c r="FB6" s="95"/>
      <c r="FC6" s="95"/>
      <c r="FD6" s="95"/>
      <c r="FE6" s="95"/>
      <c r="FF6" s="95"/>
      <c r="FG6" s="95"/>
      <c r="FH6" s="95"/>
      <c r="FI6" s="95"/>
      <c r="FJ6" s="95"/>
      <c r="FK6" s="95"/>
      <c r="FL6" s="95"/>
      <c r="FM6" s="95"/>
      <c r="FN6" s="95"/>
      <c r="FO6" s="95"/>
      <c r="FP6" s="95"/>
      <c r="FQ6" s="95"/>
      <c r="FR6" s="95"/>
      <c r="FS6" s="95"/>
      <c r="FT6" s="95"/>
      <c r="FU6" s="95"/>
      <c r="FV6" s="95"/>
      <c r="FW6" s="95"/>
      <c r="FX6" s="95"/>
      <c r="FY6" s="95"/>
      <c r="FZ6" s="95"/>
      <c r="GA6" s="95"/>
      <c r="GB6" s="95"/>
      <c r="GC6" s="95"/>
      <c r="GD6" s="95"/>
      <c r="GE6" s="95"/>
      <c r="GF6" s="95"/>
      <c r="GG6" s="95"/>
      <c r="GH6" s="95"/>
      <c r="GI6" s="95"/>
      <c r="GJ6" s="95"/>
      <c r="GK6" s="95"/>
      <c r="GL6" s="95"/>
      <c r="GM6" s="96"/>
      <c r="GN6" s="22"/>
    </row>
    <row r="7" spans="1:196" ht="20.100000000000001" customHeight="1" thickBot="1">
      <c r="A7" s="21"/>
      <c r="B7" s="202"/>
      <c r="C7" s="202"/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  <c r="FZ7"/>
      <c r="GA7"/>
      <c r="GB7"/>
      <c r="GC7"/>
      <c r="GD7"/>
      <c r="GE7"/>
      <c r="GF7"/>
      <c r="GG7"/>
      <c r="GH7"/>
      <c r="GI7"/>
      <c r="GJ7"/>
      <c r="GK7"/>
      <c r="GL7"/>
      <c r="GM7"/>
      <c r="GN7" s="22"/>
    </row>
    <row r="8" spans="1:196" ht="30" customHeight="1">
      <c r="A8" s="21"/>
      <c r="B8" s="67" t="s">
        <v>9</v>
      </c>
      <c r="C8" s="88" t="s">
        <v>10</v>
      </c>
      <c r="D8" s="89"/>
      <c r="E8" s="89"/>
      <c r="F8" s="89"/>
      <c r="G8" s="89"/>
      <c r="H8" s="89"/>
      <c r="I8" s="89"/>
      <c r="J8" s="89"/>
      <c r="K8" s="89"/>
      <c r="L8" s="89"/>
      <c r="M8" s="89"/>
      <c r="N8" s="89"/>
      <c r="O8" s="89"/>
      <c r="P8" s="89"/>
      <c r="Q8" s="89"/>
      <c r="R8" s="89"/>
      <c r="S8" s="89"/>
      <c r="T8" s="89"/>
      <c r="U8" s="89"/>
      <c r="V8" s="89"/>
      <c r="W8" s="89"/>
      <c r="X8" s="89"/>
      <c r="Y8" s="89"/>
      <c r="Z8" s="89"/>
      <c r="AA8" s="89"/>
      <c r="AB8" s="89"/>
      <c r="AC8" s="89"/>
      <c r="AD8" s="89"/>
      <c r="AE8" s="89"/>
      <c r="AF8" s="89"/>
      <c r="AG8" s="89"/>
      <c r="AH8" s="89"/>
      <c r="AI8" s="89"/>
      <c r="AJ8" s="89"/>
      <c r="AK8" s="89"/>
      <c r="AL8" s="89"/>
      <c r="AM8" s="89"/>
      <c r="AN8" s="89"/>
      <c r="AO8" s="89"/>
      <c r="AP8" s="89"/>
      <c r="AQ8" s="89"/>
      <c r="AR8" s="89"/>
      <c r="AS8" s="89"/>
      <c r="AT8" s="89"/>
      <c r="AU8" s="89"/>
      <c r="AV8" s="89"/>
      <c r="AW8" s="89"/>
      <c r="AX8" s="89"/>
      <c r="AY8" s="89"/>
      <c r="AZ8" s="89"/>
      <c r="BA8" s="89"/>
      <c r="BB8" s="89"/>
      <c r="BC8" s="89"/>
      <c r="BD8" s="89"/>
      <c r="BE8" s="89"/>
      <c r="BF8" s="89"/>
      <c r="BG8" s="89"/>
      <c r="BH8" s="89"/>
      <c r="BI8" s="89"/>
      <c r="BJ8" s="89"/>
      <c r="BK8" s="89"/>
      <c r="BL8" s="89"/>
      <c r="BM8" s="89"/>
      <c r="BN8" s="89"/>
      <c r="BO8" s="89"/>
      <c r="BP8" s="89"/>
      <c r="BQ8" s="89"/>
      <c r="BR8" s="89"/>
      <c r="BS8" s="89"/>
      <c r="BT8" s="89"/>
      <c r="BU8" s="89"/>
      <c r="BV8" s="89"/>
      <c r="BW8" s="89"/>
      <c r="BX8" s="89"/>
      <c r="BY8" s="89"/>
      <c r="BZ8" s="89"/>
      <c r="CA8" s="89"/>
      <c r="CB8" s="89"/>
      <c r="CC8" s="89"/>
      <c r="CD8" s="89"/>
      <c r="CE8" s="89"/>
      <c r="CF8" s="89"/>
      <c r="CG8" s="89"/>
      <c r="CH8" s="89"/>
      <c r="CI8" s="89"/>
      <c r="CJ8" s="89"/>
      <c r="CK8" s="89"/>
      <c r="CL8" s="89"/>
      <c r="CM8" s="89"/>
      <c r="CN8" s="89"/>
      <c r="CO8" s="89"/>
      <c r="CP8" s="89"/>
      <c r="CQ8" s="89"/>
      <c r="CR8" s="89"/>
      <c r="CS8" s="89"/>
      <c r="CT8" s="89"/>
      <c r="CU8" s="89"/>
      <c r="CV8" s="89"/>
      <c r="CW8" s="89"/>
      <c r="CX8" s="89"/>
      <c r="CY8" s="89"/>
      <c r="CZ8" s="89"/>
      <c r="DA8" s="89"/>
      <c r="DB8" s="89"/>
      <c r="DC8" s="89"/>
      <c r="DD8" s="89"/>
      <c r="DE8" s="89"/>
      <c r="DF8" s="89"/>
      <c r="DG8" s="89"/>
      <c r="DH8" s="89"/>
      <c r="DI8" s="89"/>
      <c r="DJ8" s="89"/>
      <c r="DK8" s="89"/>
      <c r="DL8" s="89"/>
      <c r="DM8" s="89"/>
      <c r="DN8" s="89"/>
      <c r="DO8" s="89"/>
      <c r="DP8" s="89"/>
      <c r="DQ8" s="89"/>
      <c r="DR8" s="89"/>
      <c r="DS8" s="89"/>
      <c r="DT8" s="89"/>
      <c r="DU8" s="89"/>
      <c r="DV8" s="89"/>
      <c r="DW8" s="89"/>
      <c r="DX8" s="89"/>
      <c r="DY8" s="89"/>
      <c r="DZ8" s="89"/>
      <c r="EA8" s="89"/>
      <c r="EB8" s="89"/>
      <c r="EC8" s="89"/>
      <c r="ED8" s="89"/>
      <c r="EE8" s="89"/>
      <c r="EF8" s="89"/>
      <c r="EG8" s="89"/>
      <c r="EH8" s="89"/>
      <c r="EI8" s="89"/>
      <c r="EJ8" s="89"/>
      <c r="EK8" s="89"/>
      <c r="EL8" s="89"/>
      <c r="EM8" s="89"/>
      <c r="EN8" s="89"/>
      <c r="EO8" s="89"/>
      <c r="EP8" s="89"/>
      <c r="EQ8" s="89"/>
      <c r="ER8" s="89"/>
      <c r="ES8" s="89"/>
      <c r="ET8" s="89"/>
      <c r="EU8" s="89"/>
      <c r="EV8" s="89"/>
      <c r="EW8" s="89"/>
      <c r="EX8" s="89"/>
      <c r="EY8" s="89"/>
      <c r="EZ8" s="89"/>
      <c r="FA8" s="89"/>
      <c r="FB8" s="89"/>
      <c r="FC8" s="89"/>
      <c r="FD8" s="89"/>
      <c r="FE8" s="89"/>
      <c r="FF8" s="89"/>
      <c r="FG8" s="89"/>
      <c r="FH8" s="89"/>
      <c r="FI8" s="89"/>
      <c r="FJ8" s="89"/>
      <c r="FK8" s="89"/>
      <c r="FL8" s="89"/>
      <c r="FM8" s="89"/>
      <c r="FN8" s="89"/>
      <c r="FO8" s="89"/>
      <c r="FP8" s="89"/>
      <c r="FQ8" s="89"/>
      <c r="FR8" s="89"/>
      <c r="FS8" s="89"/>
      <c r="FT8" s="89"/>
      <c r="FU8" s="89"/>
      <c r="FV8" s="89"/>
      <c r="FW8" s="89"/>
      <c r="FX8" s="89"/>
      <c r="FY8" s="89"/>
      <c r="FZ8" s="89"/>
      <c r="GA8" s="89"/>
      <c r="GB8" s="89"/>
      <c r="GC8" s="89"/>
      <c r="GD8" s="89"/>
      <c r="GE8" s="89"/>
      <c r="GF8" s="89"/>
      <c r="GG8" s="89"/>
      <c r="GH8" s="89"/>
      <c r="GI8" s="89"/>
      <c r="GJ8" s="89"/>
      <c r="GK8" s="89"/>
      <c r="GL8" s="89"/>
      <c r="GM8" s="90"/>
      <c r="GN8" s="22"/>
    </row>
    <row r="9" spans="1:196" ht="30" customHeight="1">
      <c r="A9" s="21"/>
      <c r="B9" s="68" t="s">
        <v>11</v>
      </c>
      <c r="C9" s="91" t="s">
        <v>12</v>
      </c>
      <c r="D9" s="92"/>
      <c r="E9" s="92"/>
      <c r="F9" s="92"/>
      <c r="G9" s="92"/>
      <c r="H9" s="92"/>
      <c r="I9" s="92"/>
      <c r="J9" s="92"/>
      <c r="K9" s="92"/>
      <c r="L9" s="92"/>
      <c r="M9" s="92"/>
      <c r="N9" s="92"/>
      <c r="O9" s="92"/>
      <c r="P9" s="92"/>
      <c r="Q9" s="92"/>
      <c r="R9" s="92"/>
      <c r="S9" s="92"/>
      <c r="T9" s="92"/>
      <c r="U9" s="92"/>
      <c r="V9" s="92"/>
      <c r="W9" s="92"/>
      <c r="X9" s="92"/>
      <c r="Y9" s="92"/>
      <c r="Z9" s="92"/>
      <c r="AA9" s="92"/>
      <c r="AB9" s="92"/>
      <c r="AC9" s="92"/>
      <c r="AD9" s="92"/>
      <c r="AE9" s="92"/>
      <c r="AF9" s="92"/>
      <c r="AG9" s="92"/>
      <c r="AH9" s="92"/>
      <c r="AI9" s="92"/>
      <c r="AJ9" s="92"/>
      <c r="AK9" s="92"/>
      <c r="AL9" s="92"/>
      <c r="AM9" s="92"/>
      <c r="AN9" s="92"/>
      <c r="AO9" s="92"/>
      <c r="AP9" s="92"/>
      <c r="AQ9" s="92"/>
      <c r="AR9" s="92"/>
      <c r="AS9" s="92"/>
      <c r="AT9" s="92"/>
      <c r="AU9" s="92"/>
      <c r="AV9" s="92"/>
      <c r="AW9" s="92"/>
      <c r="AX9" s="92"/>
      <c r="AY9" s="92"/>
      <c r="AZ9" s="92"/>
      <c r="BA9" s="92"/>
      <c r="BB9" s="92"/>
      <c r="BC9" s="92"/>
      <c r="BD9" s="92"/>
      <c r="BE9" s="92"/>
      <c r="BF9" s="92"/>
      <c r="BG9" s="92"/>
      <c r="BH9" s="92"/>
      <c r="BI9" s="92"/>
      <c r="BJ9" s="92"/>
      <c r="BK9" s="92"/>
      <c r="BL9" s="92"/>
      <c r="BM9" s="92"/>
      <c r="BN9" s="92"/>
      <c r="BO9" s="92"/>
      <c r="BP9" s="92"/>
      <c r="BQ9" s="92"/>
      <c r="BR9" s="92"/>
      <c r="BS9" s="92"/>
      <c r="BT9" s="92"/>
      <c r="BU9" s="92"/>
      <c r="BV9" s="92"/>
      <c r="BW9" s="92"/>
      <c r="BX9" s="92"/>
      <c r="BY9" s="92"/>
      <c r="BZ9" s="92"/>
      <c r="CA9" s="92"/>
      <c r="CB9" s="92"/>
      <c r="CC9" s="92"/>
      <c r="CD9" s="92"/>
      <c r="CE9" s="92"/>
      <c r="CF9" s="92"/>
      <c r="CG9" s="92"/>
      <c r="CH9" s="92"/>
      <c r="CI9" s="92"/>
      <c r="CJ9" s="92"/>
      <c r="CK9" s="92"/>
      <c r="CL9" s="92"/>
      <c r="CM9" s="92"/>
      <c r="CN9" s="92"/>
      <c r="CO9" s="92"/>
      <c r="CP9" s="92"/>
      <c r="CQ9" s="92"/>
      <c r="CR9" s="92"/>
      <c r="CS9" s="92"/>
      <c r="CT9" s="92"/>
      <c r="CU9" s="92"/>
      <c r="CV9" s="92"/>
      <c r="CW9" s="92"/>
      <c r="CX9" s="92"/>
      <c r="CY9" s="92"/>
      <c r="CZ9" s="92"/>
      <c r="DA9" s="92"/>
      <c r="DB9" s="92"/>
      <c r="DC9" s="92"/>
      <c r="DD9" s="92"/>
      <c r="DE9" s="92"/>
      <c r="DF9" s="92"/>
      <c r="DG9" s="92"/>
      <c r="DH9" s="92"/>
      <c r="DI9" s="92"/>
      <c r="DJ9" s="92"/>
      <c r="DK9" s="92"/>
      <c r="DL9" s="92"/>
      <c r="DM9" s="92"/>
      <c r="DN9" s="92"/>
      <c r="DO9" s="92"/>
      <c r="DP9" s="92"/>
      <c r="DQ9" s="92"/>
      <c r="DR9" s="92"/>
      <c r="DS9" s="92"/>
      <c r="DT9" s="92"/>
      <c r="DU9" s="92"/>
      <c r="DV9" s="92"/>
      <c r="DW9" s="92"/>
      <c r="DX9" s="92"/>
      <c r="DY9" s="92"/>
      <c r="DZ9" s="92"/>
      <c r="EA9" s="92"/>
      <c r="EB9" s="92"/>
      <c r="EC9" s="92"/>
      <c r="ED9" s="92"/>
      <c r="EE9" s="92"/>
      <c r="EF9" s="92"/>
      <c r="EG9" s="92"/>
      <c r="EH9" s="92"/>
      <c r="EI9" s="92"/>
      <c r="EJ9" s="92"/>
      <c r="EK9" s="92"/>
      <c r="EL9" s="92"/>
      <c r="EM9" s="92"/>
      <c r="EN9" s="92"/>
      <c r="EO9" s="92"/>
      <c r="EP9" s="92"/>
      <c r="EQ9" s="92"/>
      <c r="ER9" s="92"/>
      <c r="ES9" s="92"/>
      <c r="ET9" s="92"/>
      <c r="EU9" s="92"/>
      <c r="EV9" s="92"/>
      <c r="EW9" s="92"/>
      <c r="EX9" s="92"/>
      <c r="EY9" s="92"/>
      <c r="EZ9" s="92"/>
      <c r="FA9" s="92"/>
      <c r="FB9" s="92"/>
      <c r="FC9" s="92"/>
      <c r="FD9" s="92"/>
      <c r="FE9" s="92"/>
      <c r="FF9" s="92"/>
      <c r="FG9" s="92"/>
      <c r="FH9" s="92"/>
      <c r="FI9" s="92"/>
      <c r="FJ9" s="92"/>
      <c r="FK9" s="92"/>
      <c r="FL9" s="92"/>
      <c r="FM9" s="92"/>
      <c r="FN9" s="92"/>
      <c r="FO9" s="92"/>
      <c r="FP9" s="92"/>
      <c r="FQ9" s="92"/>
      <c r="FR9" s="92"/>
      <c r="FS9" s="92"/>
      <c r="FT9" s="92"/>
      <c r="FU9" s="92"/>
      <c r="FV9" s="92"/>
      <c r="FW9" s="92"/>
      <c r="FX9" s="92"/>
      <c r="FY9" s="92"/>
      <c r="FZ9" s="92"/>
      <c r="GA9" s="92"/>
      <c r="GB9" s="92"/>
      <c r="GC9" s="92"/>
      <c r="GD9" s="92"/>
      <c r="GE9" s="92"/>
      <c r="GF9" s="92"/>
      <c r="GG9" s="92"/>
      <c r="GH9" s="92"/>
      <c r="GI9" s="92"/>
      <c r="GJ9" s="92"/>
      <c r="GK9" s="92"/>
      <c r="GL9" s="92"/>
      <c r="GM9" s="93"/>
      <c r="GN9" s="22"/>
    </row>
    <row r="10" spans="1:196" ht="20.100000000000001" customHeight="1" thickBot="1">
      <c r="A10" s="21"/>
      <c r="B10" s="70"/>
      <c r="C10" s="97"/>
      <c r="D10" s="95"/>
      <c r="E10" s="95"/>
      <c r="F10" s="95"/>
      <c r="G10" s="95"/>
      <c r="H10" s="95"/>
      <c r="I10" s="95"/>
      <c r="J10" s="95"/>
      <c r="K10" s="95"/>
      <c r="L10" s="95"/>
      <c r="M10" s="95"/>
      <c r="N10" s="95"/>
      <c r="O10" s="95"/>
      <c r="P10" s="95"/>
      <c r="Q10" s="95"/>
      <c r="R10" s="95"/>
      <c r="S10" s="95"/>
      <c r="T10" s="95"/>
      <c r="U10" s="95"/>
      <c r="V10" s="95"/>
      <c r="W10" s="95"/>
      <c r="X10" s="95"/>
      <c r="Y10" s="95"/>
      <c r="Z10" s="95"/>
      <c r="AA10" s="95"/>
      <c r="AB10" s="95"/>
      <c r="AC10" s="95"/>
      <c r="AD10" s="95"/>
      <c r="AE10" s="95"/>
      <c r="AF10" s="95"/>
      <c r="AG10" s="95"/>
      <c r="AH10" s="95"/>
      <c r="AI10" s="95"/>
      <c r="AJ10" s="95"/>
      <c r="AK10" s="95"/>
      <c r="AL10" s="95"/>
      <c r="AM10" s="95"/>
      <c r="AN10" s="95"/>
      <c r="AO10" s="95"/>
      <c r="AP10" s="95"/>
      <c r="AQ10" s="95"/>
      <c r="AR10" s="95"/>
      <c r="AS10" s="95"/>
      <c r="AT10" s="95"/>
      <c r="AU10" s="95"/>
      <c r="AV10" s="95"/>
      <c r="AW10" s="95"/>
      <c r="AX10" s="95"/>
      <c r="AY10" s="95"/>
      <c r="AZ10" s="95"/>
      <c r="BA10" s="95"/>
      <c r="BB10" s="95"/>
      <c r="BC10" s="95"/>
      <c r="BD10" s="95"/>
      <c r="BE10" s="95"/>
      <c r="BF10" s="95"/>
      <c r="BG10" s="95"/>
      <c r="BH10" s="95"/>
      <c r="BI10" s="95"/>
      <c r="BJ10" s="95"/>
      <c r="BK10" s="95"/>
      <c r="BL10" s="95"/>
      <c r="BM10" s="95"/>
      <c r="BN10" s="95"/>
      <c r="BO10" s="95"/>
      <c r="BP10" s="95"/>
      <c r="BQ10" s="95"/>
      <c r="BR10" s="95"/>
      <c r="BS10" s="95"/>
      <c r="BT10" s="95"/>
      <c r="BU10" s="95"/>
      <c r="BV10" s="95"/>
      <c r="BW10" s="95"/>
      <c r="BX10" s="95"/>
      <c r="BY10" s="95"/>
      <c r="BZ10" s="95"/>
      <c r="CA10" s="95"/>
      <c r="CB10" s="95"/>
      <c r="CC10" s="95"/>
      <c r="CD10" s="95"/>
      <c r="CE10" s="95"/>
      <c r="CF10" s="95"/>
      <c r="CG10" s="95"/>
      <c r="CH10" s="95"/>
      <c r="CI10" s="95"/>
      <c r="CJ10" s="95"/>
      <c r="CK10" s="95"/>
      <c r="CL10" s="95"/>
      <c r="CM10" s="95"/>
      <c r="CN10" s="95"/>
      <c r="CO10" s="95"/>
      <c r="CP10" s="95"/>
      <c r="CQ10" s="95"/>
      <c r="CR10" s="95"/>
      <c r="CS10" s="95"/>
      <c r="CT10" s="95"/>
      <c r="CU10" s="95"/>
      <c r="CV10" s="95"/>
      <c r="CW10" s="95"/>
      <c r="CX10" s="95"/>
      <c r="CY10" s="95"/>
      <c r="CZ10" s="95"/>
      <c r="DA10" s="95"/>
      <c r="DB10" s="95"/>
      <c r="DC10" s="95"/>
      <c r="DD10" s="95"/>
      <c r="DE10" s="95"/>
      <c r="DF10" s="95"/>
      <c r="DG10" s="95"/>
      <c r="DH10" s="95"/>
      <c r="DI10" s="95"/>
      <c r="DJ10" s="95"/>
      <c r="DK10" s="95"/>
      <c r="DL10" s="95"/>
      <c r="DM10" s="95"/>
      <c r="DN10" s="95"/>
      <c r="DO10" s="95"/>
      <c r="DP10" s="95"/>
      <c r="DQ10" s="95"/>
      <c r="DR10" s="95"/>
      <c r="DS10" s="95"/>
      <c r="DT10" s="95"/>
      <c r="DU10" s="95"/>
      <c r="DV10" s="95"/>
      <c r="DW10" s="95"/>
      <c r="DX10" s="95"/>
      <c r="DY10" s="95"/>
      <c r="DZ10" s="95"/>
      <c r="EA10" s="95"/>
      <c r="EB10" s="95"/>
      <c r="EC10" s="95"/>
      <c r="ED10" s="95"/>
      <c r="EE10" s="95"/>
      <c r="EF10" s="95"/>
      <c r="EG10" s="95"/>
      <c r="EH10" s="95"/>
      <c r="EI10" s="95"/>
      <c r="EJ10" s="95"/>
      <c r="EK10" s="95"/>
      <c r="EL10" s="95"/>
      <c r="EM10" s="95"/>
      <c r="EN10" s="95"/>
      <c r="EO10" s="95"/>
      <c r="EP10" s="95"/>
      <c r="EQ10" s="95"/>
      <c r="ER10" s="95"/>
      <c r="ES10" s="95"/>
      <c r="ET10" s="95"/>
      <c r="EU10" s="95"/>
      <c r="EV10" s="95"/>
      <c r="EW10" s="95"/>
      <c r="EX10" s="95"/>
      <c r="EY10" s="95"/>
      <c r="EZ10" s="95"/>
      <c r="FA10" s="95"/>
      <c r="FB10" s="95"/>
      <c r="FC10" s="95"/>
      <c r="FD10" s="95"/>
      <c r="FE10" s="95"/>
      <c r="FF10" s="95"/>
      <c r="FG10" s="95"/>
      <c r="FH10" s="95"/>
      <c r="FI10" s="95"/>
      <c r="FJ10" s="95"/>
      <c r="FK10" s="95"/>
      <c r="FL10" s="95"/>
      <c r="FM10" s="95"/>
      <c r="FN10" s="95"/>
      <c r="FO10" s="95"/>
      <c r="FP10" s="95"/>
      <c r="FQ10" s="95"/>
      <c r="FR10" s="95"/>
      <c r="FS10" s="95"/>
      <c r="FT10" s="95"/>
      <c r="FU10" s="95"/>
      <c r="FV10" s="95"/>
      <c r="FW10" s="95"/>
      <c r="FX10" s="95"/>
      <c r="FY10" s="95"/>
      <c r="FZ10" s="95"/>
      <c r="GA10" s="95"/>
      <c r="GB10" s="95"/>
      <c r="GC10" s="95"/>
      <c r="GD10" s="95"/>
      <c r="GE10" s="95"/>
      <c r="GF10" s="95"/>
      <c r="GG10" s="95"/>
      <c r="GH10" s="95"/>
      <c r="GI10" s="95"/>
      <c r="GJ10" s="95"/>
      <c r="GK10" s="95"/>
      <c r="GL10" s="95"/>
      <c r="GM10" s="96"/>
      <c r="GN10" s="22"/>
    </row>
    <row r="11" spans="1:196" ht="30" customHeight="1" thickBot="1">
      <c r="A11" s="23"/>
      <c r="B11" s="9" t="s">
        <v>13</v>
      </c>
      <c r="C11" s="8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/>
      <c r="DL11"/>
      <c r="DM11"/>
      <c r="DN11"/>
      <c r="DO11"/>
      <c r="DP11"/>
      <c r="DQ11"/>
      <c r="DR11"/>
      <c r="DS11"/>
      <c r="DT11"/>
      <c r="DU11"/>
      <c r="DV11"/>
      <c r="DW11"/>
      <c r="DX11"/>
      <c r="DY11"/>
      <c r="DZ11"/>
      <c r="EA11"/>
      <c r="EB11"/>
      <c r="EC11"/>
      <c r="ED11"/>
      <c r="EE11"/>
      <c r="EF11"/>
      <c r="EG11"/>
      <c r="EH11"/>
      <c r="EI11"/>
      <c r="EJ11"/>
      <c r="EK11"/>
      <c r="EL11"/>
      <c r="EM11"/>
      <c r="EN11"/>
      <c r="EO11"/>
      <c r="EP11"/>
      <c r="EQ11"/>
      <c r="ER11"/>
      <c r="ES11"/>
      <c r="ET11"/>
      <c r="EU11"/>
      <c r="EV11"/>
      <c r="EW11"/>
      <c r="EX11"/>
      <c r="EY11"/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 s="24"/>
    </row>
    <row r="12" spans="1:196" ht="42.75" customHeight="1" thickBot="1">
      <c r="A12" s="21"/>
      <c r="B12" s="71" t="s">
        <v>14</v>
      </c>
      <c r="C12" s="72" t="s">
        <v>15</v>
      </c>
      <c r="D12" s="27" t="s">
        <v>16</v>
      </c>
      <c r="E12" s="196"/>
      <c r="F12" s="196"/>
      <c r="G12" s="196"/>
      <c r="H12" s="196"/>
      <c r="I12" s="196"/>
      <c r="J12" s="196"/>
      <c r="K12" s="196"/>
      <c r="L12" s="196"/>
      <c r="M12" s="196"/>
      <c r="N12" s="196"/>
      <c r="O12" s="197"/>
      <c r="P12" s="27" t="s">
        <v>17</v>
      </c>
      <c r="Q12" s="196"/>
      <c r="R12" s="196"/>
      <c r="S12" s="196"/>
      <c r="T12" s="196"/>
      <c r="U12" s="196"/>
      <c r="V12" s="196"/>
      <c r="W12" s="196"/>
      <c r="X12" s="196"/>
      <c r="Y12" s="196"/>
      <c r="Z12" s="196"/>
      <c r="AA12" s="197"/>
      <c r="AB12" s="27" t="s">
        <v>18</v>
      </c>
      <c r="AC12" s="196"/>
      <c r="AD12" s="196"/>
      <c r="AE12" s="196"/>
      <c r="AF12" s="196"/>
      <c r="AG12" s="196"/>
      <c r="AH12" s="196"/>
      <c r="AI12" s="196"/>
      <c r="AJ12" s="196"/>
      <c r="AK12" s="196"/>
      <c r="AL12" s="196"/>
      <c r="AM12" s="197"/>
      <c r="AN12" s="27" t="s">
        <v>19</v>
      </c>
      <c r="AO12" s="196"/>
      <c r="AP12" s="196"/>
      <c r="AQ12" s="196"/>
      <c r="AR12" s="196"/>
      <c r="AS12" s="196"/>
      <c r="AT12" s="196"/>
      <c r="AU12" s="196"/>
      <c r="AV12" s="196"/>
      <c r="AW12" s="196"/>
      <c r="AX12" s="196"/>
      <c r="AY12" s="197"/>
      <c r="AZ12" s="27" t="s">
        <v>20</v>
      </c>
      <c r="BA12" s="196"/>
      <c r="BB12" s="196"/>
      <c r="BC12" s="196"/>
      <c r="BD12" s="196"/>
      <c r="BE12" s="196"/>
      <c r="BF12" s="196"/>
      <c r="BG12" s="196"/>
      <c r="BH12" s="196"/>
      <c r="BI12" s="196"/>
      <c r="BJ12" s="196"/>
      <c r="BK12" s="197"/>
      <c r="BL12" s="27" t="s">
        <v>21</v>
      </c>
      <c r="BM12" s="196"/>
      <c r="BN12" s="196"/>
      <c r="BO12" s="196"/>
      <c r="BP12" s="196"/>
      <c r="BQ12" s="196"/>
      <c r="BR12" s="196"/>
      <c r="BS12" s="196"/>
      <c r="BT12" s="196"/>
      <c r="BU12" s="196"/>
      <c r="BV12" s="196"/>
      <c r="BW12" s="197"/>
      <c r="BX12" s="27" t="s">
        <v>22</v>
      </c>
      <c r="BY12" s="196"/>
      <c r="BZ12" s="196"/>
      <c r="CA12" s="196"/>
      <c r="CB12" s="196"/>
      <c r="CC12" s="196"/>
      <c r="CD12" s="196"/>
      <c r="CE12" s="196"/>
      <c r="CF12" s="196"/>
      <c r="CG12" s="196"/>
      <c r="CH12" s="196"/>
      <c r="CI12" s="197"/>
      <c r="CJ12" s="27" t="s">
        <v>23</v>
      </c>
      <c r="CK12" s="196"/>
      <c r="CL12" s="196"/>
      <c r="CM12" s="196"/>
      <c r="CN12" s="196"/>
      <c r="CO12" s="196"/>
      <c r="CP12" s="196"/>
      <c r="CQ12" s="196"/>
      <c r="CR12" s="196"/>
      <c r="CS12" s="196"/>
      <c r="CT12" s="196"/>
      <c r="CU12" s="197"/>
      <c r="CV12" s="27" t="s">
        <v>24</v>
      </c>
      <c r="CW12" s="196"/>
      <c r="CX12" s="196"/>
      <c r="CY12" s="196"/>
      <c r="CZ12" s="196"/>
      <c r="DA12" s="196"/>
      <c r="DB12" s="196"/>
      <c r="DC12" s="196"/>
      <c r="DD12" s="196"/>
      <c r="DE12" s="196"/>
      <c r="DF12" s="196"/>
      <c r="DG12" s="197"/>
      <c r="DH12" s="27" t="s">
        <v>25</v>
      </c>
      <c r="DI12" s="196"/>
      <c r="DJ12" s="196"/>
      <c r="DK12" s="196"/>
      <c r="DL12" s="196"/>
      <c r="DM12" s="196"/>
      <c r="DN12" s="196"/>
      <c r="DO12" s="196"/>
      <c r="DP12" s="196"/>
      <c r="DQ12" s="196"/>
      <c r="DR12" s="196"/>
      <c r="DS12" s="197"/>
      <c r="DT12" s="27" t="s">
        <v>26</v>
      </c>
      <c r="DU12" s="196"/>
      <c r="DV12" s="196"/>
      <c r="DW12" s="196"/>
      <c r="DX12" s="196"/>
      <c r="DY12" s="196"/>
      <c r="DZ12" s="196"/>
      <c r="EA12" s="196"/>
      <c r="EB12" s="196"/>
      <c r="EC12" s="196"/>
      <c r="ED12" s="196"/>
      <c r="EE12" s="197"/>
      <c r="EF12" s="27" t="s">
        <v>27</v>
      </c>
      <c r="EG12" s="196"/>
      <c r="EH12" s="196"/>
      <c r="EI12" s="196"/>
      <c r="EJ12" s="196"/>
      <c r="EK12" s="196"/>
      <c r="EL12" s="196"/>
      <c r="EM12" s="196"/>
      <c r="EN12" s="196"/>
      <c r="EO12" s="196"/>
      <c r="EP12" s="196"/>
      <c r="EQ12" s="197"/>
      <c r="ER12" s="27" t="s">
        <v>28</v>
      </c>
      <c r="ES12" s="196"/>
      <c r="ET12" s="196"/>
      <c r="EU12" s="196"/>
      <c r="EV12" s="196"/>
      <c r="EW12" s="196"/>
      <c r="EX12" s="196"/>
      <c r="EY12" s="196"/>
      <c r="EZ12" s="196"/>
      <c r="FA12" s="196"/>
      <c r="FB12" s="196"/>
      <c r="FC12" s="197"/>
      <c r="FD12" s="27" t="s">
        <v>29</v>
      </c>
      <c r="FE12" s="196"/>
      <c r="FF12" s="196"/>
      <c r="FG12" s="196"/>
      <c r="FH12" s="196"/>
      <c r="FI12" s="196"/>
      <c r="FJ12" s="196"/>
      <c r="FK12" s="196"/>
      <c r="FL12" s="196"/>
      <c r="FM12" s="196"/>
      <c r="FN12" s="196"/>
      <c r="FO12" s="197"/>
      <c r="FP12" s="27" t="s">
        <v>30</v>
      </c>
      <c r="FQ12" s="196"/>
      <c r="FR12" s="196"/>
      <c r="FS12" s="196"/>
      <c r="FT12" s="196"/>
      <c r="FU12" s="196"/>
      <c r="FV12" s="196"/>
      <c r="FW12" s="196"/>
      <c r="FX12" s="196"/>
      <c r="FY12" s="196"/>
      <c r="FZ12" s="196"/>
      <c r="GA12" s="197"/>
      <c r="GB12" s="27" t="s">
        <v>31</v>
      </c>
      <c r="GC12" s="196"/>
      <c r="GD12" s="196"/>
      <c r="GE12" s="196"/>
      <c r="GF12" s="196"/>
      <c r="GG12" s="196"/>
      <c r="GH12" s="196"/>
      <c r="GI12" s="196"/>
      <c r="GJ12" s="196"/>
      <c r="GK12" s="196"/>
      <c r="GL12" s="196"/>
      <c r="GM12" s="198"/>
      <c r="GN12" s="22"/>
    </row>
    <row r="13" spans="1:196" ht="20.100000000000001" customHeight="1">
      <c r="A13" s="53" t="str">
        <f>IF(LEN(B13)=0,"",B13)</f>
        <v xml:space="preserve">Absences - imprévus </v>
      </c>
      <c r="B13" s="203" t="s">
        <v>32</v>
      </c>
      <c r="C13" s="73">
        <v>0</v>
      </c>
      <c r="D13" s="41"/>
      <c r="E13" s="42"/>
      <c r="F13" s="43"/>
      <c r="G13" s="44"/>
      <c r="H13" s="42"/>
      <c r="I13" s="43"/>
      <c r="J13" s="44"/>
      <c r="K13" s="42"/>
      <c r="L13" s="43"/>
      <c r="M13" s="44"/>
      <c r="N13" s="42"/>
      <c r="O13" s="45"/>
      <c r="P13" s="41"/>
      <c r="Q13" s="42"/>
      <c r="R13" s="43"/>
      <c r="S13" s="44"/>
      <c r="T13" s="42"/>
      <c r="U13" s="43"/>
      <c r="V13" s="44"/>
      <c r="W13" s="42"/>
      <c r="X13" s="43"/>
      <c r="Y13" s="44"/>
      <c r="Z13" s="42"/>
      <c r="AA13" s="45"/>
      <c r="AB13" s="41"/>
      <c r="AC13" s="42"/>
      <c r="AD13" s="43"/>
      <c r="AE13" s="44"/>
      <c r="AF13" s="42"/>
      <c r="AG13" s="43"/>
      <c r="AH13" s="44"/>
      <c r="AI13" s="42"/>
      <c r="AJ13" s="43"/>
      <c r="AK13" s="44"/>
      <c r="AL13" s="42"/>
      <c r="AM13" s="45"/>
      <c r="AN13" s="41"/>
      <c r="AO13" s="42"/>
      <c r="AP13" s="43"/>
      <c r="AQ13" s="44"/>
      <c r="AR13" s="42"/>
      <c r="AS13" s="43"/>
      <c r="AT13" s="44"/>
      <c r="AU13" s="42"/>
      <c r="AV13" s="43"/>
      <c r="AW13" s="44"/>
      <c r="AX13" s="42"/>
      <c r="AY13" s="45"/>
      <c r="AZ13" s="41"/>
      <c r="BA13" s="42"/>
      <c r="BB13" s="43"/>
      <c r="BC13" s="44"/>
      <c r="BD13" s="42"/>
      <c r="BE13" s="43"/>
      <c r="BF13" s="44"/>
      <c r="BG13" s="42"/>
      <c r="BH13" s="43"/>
      <c r="BI13" s="44"/>
      <c r="BJ13" s="42"/>
      <c r="BK13" s="45"/>
      <c r="BL13" s="41"/>
      <c r="BM13" s="42"/>
      <c r="BN13" s="43"/>
      <c r="BO13" s="44"/>
      <c r="BP13" s="42"/>
      <c r="BQ13" s="43"/>
      <c r="BR13" s="44"/>
      <c r="BS13" s="42"/>
      <c r="BT13" s="43"/>
      <c r="BU13" s="44"/>
      <c r="BV13" s="42"/>
      <c r="BW13" s="45"/>
      <c r="BX13" s="41"/>
      <c r="BY13" s="42"/>
      <c r="BZ13" s="43"/>
      <c r="CA13" s="44"/>
      <c r="CB13" s="42"/>
      <c r="CC13" s="43"/>
      <c r="CD13" s="44"/>
      <c r="CE13" s="42"/>
      <c r="CF13" s="43"/>
      <c r="CG13" s="44"/>
      <c r="CH13" s="42"/>
      <c r="CI13" s="45"/>
      <c r="CJ13" s="41"/>
      <c r="CK13" s="42"/>
      <c r="CL13" s="43"/>
      <c r="CM13" s="44"/>
      <c r="CN13" s="42"/>
      <c r="CO13" s="43"/>
      <c r="CP13" s="44"/>
      <c r="CQ13" s="42"/>
      <c r="CR13" s="43"/>
      <c r="CS13" s="44"/>
      <c r="CT13" s="42"/>
      <c r="CU13" s="45"/>
      <c r="CV13" s="41"/>
      <c r="CW13" s="42"/>
      <c r="CX13" s="43"/>
      <c r="CY13" s="44"/>
      <c r="CZ13" s="42"/>
      <c r="DA13" s="43"/>
      <c r="DB13" s="44"/>
      <c r="DC13" s="42"/>
      <c r="DD13" s="43"/>
      <c r="DE13" s="44"/>
      <c r="DF13" s="42"/>
      <c r="DG13" s="45"/>
      <c r="DH13" s="41"/>
      <c r="DI13" s="42"/>
      <c r="DJ13" s="43"/>
      <c r="DK13" s="44"/>
      <c r="DL13" s="42"/>
      <c r="DM13" s="43"/>
      <c r="DN13" s="44"/>
      <c r="DO13" s="42"/>
      <c r="DP13" s="43"/>
      <c r="DQ13" s="44"/>
      <c r="DR13" s="42"/>
      <c r="DS13" s="45"/>
      <c r="DT13" s="41"/>
      <c r="DU13" s="42"/>
      <c r="DV13" s="43"/>
      <c r="DW13" s="44"/>
      <c r="DX13" s="42"/>
      <c r="DY13" s="43"/>
      <c r="DZ13" s="44"/>
      <c r="EA13" s="42"/>
      <c r="EB13" s="43"/>
      <c r="EC13" s="44"/>
      <c r="ED13" s="42"/>
      <c r="EE13" s="45"/>
      <c r="EF13" s="41"/>
      <c r="EG13" s="42"/>
      <c r="EH13" s="43"/>
      <c r="EI13" s="44"/>
      <c r="EJ13" s="42"/>
      <c r="EK13" s="43"/>
      <c r="EL13" s="44"/>
      <c r="EM13" s="42"/>
      <c r="EN13" s="43"/>
      <c r="EO13" s="44"/>
      <c r="EP13" s="42"/>
      <c r="EQ13" s="45"/>
      <c r="ER13" s="41"/>
      <c r="ES13" s="42"/>
      <c r="ET13" s="43"/>
      <c r="EU13" s="44"/>
      <c r="EV13" s="42"/>
      <c r="EW13" s="43"/>
      <c r="EX13" s="44"/>
      <c r="EY13" s="42"/>
      <c r="EZ13" s="43"/>
      <c r="FA13" s="44"/>
      <c r="FB13" s="42"/>
      <c r="FC13" s="45"/>
      <c r="FD13" s="41"/>
      <c r="FE13" s="42"/>
      <c r="FF13" s="43"/>
      <c r="FG13" s="44"/>
      <c r="FH13" s="42"/>
      <c r="FI13" s="43"/>
      <c r="FJ13" s="44"/>
      <c r="FK13" s="42"/>
      <c r="FL13" s="43"/>
      <c r="FM13" s="44"/>
      <c r="FN13" s="42"/>
      <c r="FO13" s="45"/>
      <c r="FP13" s="41"/>
      <c r="FQ13" s="42"/>
      <c r="FR13" s="43"/>
      <c r="FS13" s="44"/>
      <c r="FT13" s="42"/>
      <c r="FU13" s="43"/>
      <c r="FV13" s="44"/>
      <c r="FW13" s="42"/>
      <c r="FX13" s="43"/>
      <c r="FY13" s="44"/>
      <c r="FZ13" s="42"/>
      <c r="GA13" s="45"/>
      <c r="GB13" s="16"/>
      <c r="GC13" s="14"/>
      <c r="GD13" s="17"/>
      <c r="GE13" s="18"/>
      <c r="GF13" s="14"/>
      <c r="GG13" s="17"/>
      <c r="GH13" s="18"/>
      <c r="GI13" s="14"/>
      <c r="GJ13" s="17"/>
      <c r="GK13" s="18"/>
      <c r="GL13" s="14"/>
      <c r="GM13" s="15"/>
      <c r="GN13" s="22"/>
    </row>
    <row r="14" spans="1:196" ht="20.100000000000001" customHeight="1">
      <c r="A14" s="53" t="str">
        <f>IF(LEN(B15)=0,"",B15)</f>
        <v>Introduction module</v>
      </c>
      <c r="B14" s="206"/>
      <c r="C14" s="74">
        <v>0</v>
      </c>
      <c r="D14" s="47"/>
      <c r="E14" s="48"/>
      <c r="F14" s="49"/>
      <c r="G14" s="50"/>
      <c r="H14" s="48"/>
      <c r="I14" s="49"/>
      <c r="J14" s="50"/>
      <c r="K14" s="48"/>
      <c r="L14" s="49"/>
      <c r="M14" s="50"/>
      <c r="N14" s="48"/>
      <c r="O14" s="51"/>
      <c r="P14" s="47"/>
      <c r="Q14" s="48"/>
      <c r="R14" s="49"/>
      <c r="S14" s="50"/>
      <c r="T14" s="48"/>
      <c r="U14" s="49"/>
      <c r="V14" s="50"/>
      <c r="W14" s="48"/>
      <c r="X14" s="49"/>
      <c r="Y14" s="50"/>
      <c r="Z14" s="48"/>
      <c r="AA14" s="51"/>
      <c r="AB14" s="47"/>
      <c r="AC14" s="48"/>
      <c r="AD14" s="49"/>
      <c r="AE14" s="50"/>
      <c r="AF14" s="48"/>
      <c r="AG14" s="49"/>
      <c r="AH14" s="50"/>
      <c r="AI14" s="48"/>
      <c r="AJ14" s="49"/>
      <c r="AK14" s="50"/>
      <c r="AL14" s="48"/>
      <c r="AM14" s="51"/>
      <c r="AN14" s="47"/>
      <c r="AO14" s="48"/>
      <c r="AP14" s="49"/>
      <c r="AQ14" s="50"/>
      <c r="AR14" s="48"/>
      <c r="AS14" s="49"/>
      <c r="AT14" s="50"/>
      <c r="AU14" s="48"/>
      <c r="AV14" s="49"/>
      <c r="AW14" s="50"/>
      <c r="AX14" s="48"/>
      <c r="AY14" s="51"/>
      <c r="AZ14" s="47"/>
      <c r="BA14" s="48"/>
      <c r="BB14" s="49"/>
      <c r="BC14" s="50"/>
      <c r="BD14" s="48"/>
      <c r="BE14" s="49"/>
      <c r="BF14" s="50"/>
      <c r="BG14" s="48"/>
      <c r="BH14" s="49"/>
      <c r="BI14" s="50"/>
      <c r="BJ14" s="48"/>
      <c r="BK14" s="51"/>
      <c r="BL14" s="47"/>
      <c r="BM14" s="48"/>
      <c r="BN14" s="49"/>
      <c r="BO14" s="50"/>
      <c r="BP14" s="48"/>
      <c r="BQ14" s="49"/>
      <c r="BR14" s="50"/>
      <c r="BS14" s="48"/>
      <c r="BT14" s="49"/>
      <c r="BU14" s="50"/>
      <c r="BV14" s="48"/>
      <c r="BW14" s="51"/>
      <c r="BX14" s="47"/>
      <c r="BY14" s="48"/>
      <c r="BZ14" s="49"/>
      <c r="CA14" s="50"/>
      <c r="CB14" s="48"/>
      <c r="CC14" s="49"/>
      <c r="CD14" s="50"/>
      <c r="CE14" s="48"/>
      <c r="CF14" s="49"/>
      <c r="CG14" s="50"/>
      <c r="CH14" s="48"/>
      <c r="CI14" s="51"/>
      <c r="CJ14" s="47"/>
      <c r="CK14" s="48"/>
      <c r="CL14" s="49"/>
      <c r="CM14" s="50"/>
      <c r="CN14" s="48"/>
      <c r="CO14" s="49"/>
      <c r="CP14" s="50"/>
      <c r="CQ14" s="48"/>
      <c r="CR14" s="49"/>
      <c r="CS14" s="50"/>
      <c r="CT14" s="48"/>
      <c r="CU14" s="51"/>
      <c r="CV14" s="47"/>
      <c r="CW14" s="48"/>
      <c r="CX14" s="49"/>
      <c r="CY14" s="50"/>
      <c r="CZ14" s="48"/>
      <c r="DA14" s="49"/>
      <c r="DB14" s="50"/>
      <c r="DC14" s="48"/>
      <c r="DD14" s="49"/>
      <c r="DE14" s="50"/>
      <c r="DF14" s="48"/>
      <c r="DG14" s="51"/>
      <c r="DH14" s="47"/>
      <c r="DI14" s="48"/>
      <c r="DJ14" s="49"/>
      <c r="DK14" s="50"/>
      <c r="DL14" s="48"/>
      <c r="DM14" s="49"/>
      <c r="DN14" s="50"/>
      <c r="DO14" s="48"/>
      <c r="DP14" s="49"/>
      <c r="DQ14" s="50"/>
      <c r="DR14" s="48"/>
      <c r="DS14" s="51"/>
      <c r="DT14" s="47"/>
      <c r="DU14" s="48"/>
      <c r="DV14" s="49"/>
      <c r="DW14" s="50"/>
      <c r="DX14" s="48"/>
      <c r="DY14" s="49"/>
      <c r="DZ14" s="50"/>
      <c r="EA14" s="48"/>
      <c r="EB14" s="49"/>
      <c r="EC14" s="50"/>
      <c r="ED14" s="48"/>
      <c r="EE14" s="51"/>
      <c r="EF14" s="47"/>
      <c r="EG14" s="48"/>
      <c r="EH14" s="49"/>
      <c r="EI14" s="50"/>
      <c r="EJ14" s="48"/>
      <c r="EK14" s="49"/>
      <c r="EL14" s="50"/>
      <c r="EM14" s="48"/>
      <c r="EN14" s="49"/>
      <c r="EO14" s="50"/>
      <c r="EP14" s="48"/>
      <c r="EQ14" s="51"/>
      <c r="ER14" s="47"/>
      <c r="ES14" s="48"/>
      <c r="ET14" s="49"/>
      <c r="EU14" s="50"/>
      <c r="EV14" s="48"/>
      <c r="EW14" s="49"/>
      <c r="EX14" s="50"/>
      <c r="EY14" s="48"/>
      <c r="EZ14" s="49"/>
      <c r="FA14" s="50"/>
      <c r="FB14" s="48"/>
      <c r="FC14" s="51"/>
      <c r="FD14" s="47"/>
      <c r="FE14" s="48"/>
      <c r="FF14" s="49"/>
      <c r="FG14" s="50"/>
      <c r="FH14" s="48"/>
      <c r="FI14" s="49"/>
      <c r="FJ14" s="50"/>
      <c r="FK14" s="48"/>
      <c r="FL14" s="49"/>
      <c r="FM14" s="50"/>
      <c r="FN14" s="48"/>
      <c r="FO14" s="51"/>
      <c r="FP14" s="47"/>
      <c r="FQ14" s="48"/>
      <c r="FR14" s="49"/>
      <c r="FS14" s="50"/>
      <c r="FT14" s="48"/>
      <c r="FU14" s="49"/>
      <c r="FV14" s="50"/>
      <c r="FW14" s="48"/>
      <c r="FX14" s="49"/>
      <c r="FY14" s="50"/>
      <c r="FZ14" s="48"/>
      <c r="GA14" s="51"/>
      <c r="GB14" s="28"/>
      <c r="GC14" s="29"/>
      <c r="GD14" s="30"/>
      <c r="GE14" s="31"/>
      <c r="GF14" s="29"/>
      <c r="GG14" s="30"/>
      <c r="GH14" s="31"/>
      <c r="GI14" s="29"/>
      <c r="GJ14" s="30"/>
      <c r="GK14" s="31"/>
      <c r="GL14" s="29"/>
      <c r="GM14" s="34"/>
      <c r="GN14" s="22"/>
    </row>
    <row r="15" spans="1:196" ht="20.100000000000001" customHeight="1">
      <c r="A15" s="53" t="str">
        <f>IF(LEN(B17)=0,"",B17)</f>
        <v>Prise en main d'un ERP</v>
      </c>
      <c r="B15" s="199" t="s">
        <v>33</v>
      </c>
      <c r="C15" s="75">
        <v>0</v>
      </c>
      <c r="D15" s="41"/>
      <c r="E15" s="42"/>
      <c r="F15" s="43"/>
      <c r="G15" s="44"/>
      <c r="H15" s="42"/>
      <c r="I15" s="43"/>
      <c r="J15" s="44"/>
      <c r="K15" s="42"/>
      <c r="L15" s="43"/>
      <c r="M15" s="44"/>
      <c r="N15" s="42"/>
      <c r="O15" s="45"/>
      <c r="P15" s="41"/>
      <c r="Q15" s="42"/>
      <c r="R15" s="43"/>
      <c r="S15" s="44"/>
      <c r="T15" s="42"/>
      <c r="U15" s="43"/>
      <c r="V15" s="44"/>
      <c r="W15" s="42"/>
      <c r="X15" s="43"/>
      <c r="Y15" s="44"/>
      <c r="Z15" s="42"/>
      <c r="AA15" s="45"/>
      <c r="AB15" s="41"/>
      <c r="AC15" s="42"/>
      <c r="AD15" s="43"/>
      <c r="AE15" s="44"/>
      <c r="AF15" s="42"/>
      <c r="AG15" s="43"/>
      <c r="AH15" s="44"/>
      <c r="AI15" s="42"/>
      <c r="AJ15" s="43"/>
      <c r="AK15" s="44"/>
      <c r="AL15" s="42"/>
      <c r="AM15" s="45"/>
      <c r="AN15" s="41"/>
      <c r="AO15" s="42"/>
      <c r="AP15" s="43"/>
      <c r="AQ15" s="44"/>
      <c r="AR15" s="42"/>
      <c r="AS15" s="43"/>
      <c r="AT15" s="44"/>
      <c r="AU15" s="42"/>
      <c r="AV15" s="43"/>
      <c r="AW15" s="44"/>
      <c r="AX15" s="42"/>
      <c r="AY15" s="45"/>
      <c r="AZ15" s="41"/>
      <c r="BA15" s="42"/>
      <c r="BB15" s="43"/>
      <c r="BC15" s="44"/>
      <c r="BD15" s="42"/>
      <c r="BE15" s="43"/>
      <c r="BF15" s="44"/>
      <c r="BG15" s="42"/>
      <c r="BH15" s="43"/>
      <c r="BI15" s="44"/>
      <c r="BJ15" s="42"/>
      <c r="BK15" s="45"/>
      <c r="BL15" s="41"/>
      <c r="BM15" s="42"/>
      <c r="BN15" s="43"/>
      <c r="BO15" s="44"/>
      <c r="BP15" s="42"/>
      <c r="BQ15" s="43"/>
      <c r="BR15" s="44"/>
      <c r="BS15" s="42"/>
      <c r="BT15" s="43"/>
      <c r="BU15" s="44"/>
      <c r="BV15" s="42"/>
      <c r="BW15" s="45"/>
      <c r="BX15" s="41"/>
      <c r="BY15" s="42"/>
      <c r="BZ15" s="43"/>
      <c r="CA15" s="44"/>
      <c r="CB15" s="42"/>
      <c r="CC15" s="43"/>
      <c r="CD15" s="44"/>
      <c r="CE15" s="42"/>
      <c r="CF15" s="43"/>
      <c r="CG15" s="44"/>
      <c r="CH15" s="42"/>
      <c r="CI15" s="45"/>
      <c r="CJ15" s="41"/>
      <c r="CK15" s="42"/>
      <c r="CL15" s="43"/>
      <c r="CM15" s="44"/>
      <c r="CN15" s="42"/>
      <c r="CO15" s="43"/>
      <c r="CP15" s="44"/>
      <c r="CQ15" s="42"/>
      <c r="CR15" s="43"/>
      <c r="CS15" s="44"/>
      <c r="CT15" s="42"/>
      <c r="CU15" s="45"/>
      <c r="CV15" s="41"/>
      <c r="CW15" s="42"/>
      <c r="CX15" s="43"/>
      <c r="CY15" s="44"/>
      <c r="CZ15" s="42"/>
      <c r="DA15" s="43"/>
      <c r="DB15" s="44"/>
      <c r="DC15" s="42"/>
      <c r="DD15" s="43"/>
      <c r="DE15" s="44"/>
      <c r="DF15" s="42"/>
      <c r="DG15" s="45"/>
      <c r="DH15" s="41"/>
      <c r="DI15" s="42"/>
      <c r="DJ15" s="43"/>
      <c r="DK15" s="44"/>
      <c r="DL15" s="42"/>
      <c r="DM15" s="43"/>
      <c r="DN15" s="44"/>
      <c r="DO15" s="42"/>
      <c r="DP15" s="43"/>
      <c r="DQ15" s="44"/>
      <c r="DR15" s="42"/>
      <c r="DS15" s="45"/>
      <c r="DT15" s="41"/>
      <c r="DU15" s="42"/>
      <c r="DV15" s="43"/>
      <c r="DW15" s="44"/>
      <c r="DX15" s="42"/>
      <c r="DY15" s="43"/>
      <c r="DZ15" s="44"/>
      <c r="EA15" s="42"/>
      <c r="EB15" s="43"/>
      <c r="EC15" s="44"/>
      <c r="ED15" s="42"/>
      <c r="EE15" s="45"/>
      <c r="EF15" s="41"/>
      <c r="EG15" s="42"/>
      <c r="EH15" s="43"/>
      <c r="EI15" s="44"/>
      <c r="EJ15" s="42"/>
      <c r="EK15" s="43"/>
      <c r="EL15" s="44"/>
      <c r="EM15" s="42"/>
      <c r="EN15" s="43"/>
      <c r="EO15" s="44"/>
      <c r="EP15" s="42"/>
      <c r="EQ15" s="45"/>
      <c r="ER15" s="41"/>
      <c r="ES15" s="42"/>
      <c r="ET15" s="43"/>
      <c r="EU15" s="44"/>
      <c r="EV15" s="42"/>
      <c r="EW15" s="43"/>
      <c r="EX15" s="44"/>
      <c r="EY15" s="42"/>
      <c r="EZ15" s="43"/>
      <c r="FA15" s="44"/>
      <c r="FB15" s="42"/>
      <c r="FC15" s="45"/>
      <c r="FD15" s="41"/>
      <c r="FE15" s="42"/>
      <c r="FF15" s="43"/>
      <c r="FG15" s="44"/>
      <c r="FH15" s="42"/>
      <c r="FI15" s="43"/>
      <c r="FJ15" s="44"/>
      <c r="FK15" s="42"/>
      <c r="FL15" s="43"/>
      <c r="FM15" s="44"/>
      <c r="FN15" s="42"/>
      <c r="FO15" s="45"/>
      <c r="FP15" s="41"/>
      <c r="FQ15" s="42"/>
      <c r="FR15" s="43"/>
      <c r="FS15" s="44"/>
      <c r="FT15" s="42"/>
      <c r="FU15" s="43"/>
      <c r="FV15" s="44"/>
      <c r="FW15" s="42"/>
      <c r="FX15" s="43"/>
      <c r="FY15" s="44"/>
      <c r="FZ15" s="42"/>
      <c r="GA15" s="45"/>
      <c r="GB15" s="41"/>
      <c r="GC15" s="42"/>
      <c r="GD15" s="43"/>
      <c r="GE15" s="44"/>
      <c r="GF15" s="42"/>
      <c r="GG15" s="43"/>
      <c r="GH15" s="44"/>
      <c r="GI15" s="42"/>
      <c r="GJ15" s="43"/>
      <c r="GK15" s="44"/>
      <c r="GL15" s="42"/>
      <c r="GM15" s="46"/>
      <c r="GN15" s="22"/>
    </row>
    <row r="16" spans="1:196" ht="20.100000000000001" customHeight="1">
      <c r="A16" s="53" t="str">
        <f>IF(LEN(B19)=0,"",B19)</f>
        <v>Représenter des flux</v>
      </c>
      <c r="B16" s="207"/>
      <c r="C16" s="76">
        <v>0</v>
      </c>
      <c r="D16" s="47"/>
      <c r="E16" s="48"/>
      <c r="F16" s="49"/>
      <c r="G16" s="50"/>
      <c r="H16" s="48"/>
      <c r="I16" s="49"/>
      <c r="J16" s="50"/>
      <c r="K16" s="48"/>
      <c r="L16" s="49"/>
      <c r="M16" s="50"/>
      <c r="N16" s="48"/>
      <c r="O16" s="51"/>
      <c r="P16" s="47"/>
      <c r="Q16" s="48"/>
      <c r="R16" s="49"/>
      <c r="S16" s="50"/>
      <c r="T16" s="48"/>
      <c r="U16" s="49"/>
      <c r="V16" s="50"/>
      <c r="W16" s="48"/>
      <c r="X16" s="49"/>
      <c r="Y16" s="50"/>
      <c r="Z16" s="48"/>
      <c r="AA16" s="51"/>
      <c r="AB16" s="47"/>
      <c r="AC16" s="48"/>
      <c r="AD16" s="49"/>
      <c r="AE16" s="50"/>
      <c r="AF16" s="48"/>
      <c r="AG16" s="49"/>
      <c r="AH16" s="50"/>
      <c r="AI16" s="48"/>
      <c r="AJ16" s="49"/>
      <c r="AK16" s="50"/>
      <c r="AL16" s="48"/>
      <c r="AM16" s="51"/>
      <c r="AN16" s="47"/>
      <c r="AO16" s="48"/>
      <c r="AP16" s="49"/>
      <c r="AQ16" s="50"/>
      <c r="AR16" s="48"/>
      <c r="AS16" s="49"/>
      <c r="AT16" s="50"/>
      <c r="AU16" s="48"/>
      <c r="AV16" s="49"/>
      <c r="AW16" s="50"/>
      <c r="AX16" s="48"/>
      <c r="AY16" s="51"/>
      <c r="AZ16" s="47"/>
      <c r="BA16" s="48"/>
      <c r="BB16" s="49"/>
      <c r="BC16" s="50"/>
      <c r="BD16" s="48"/>
      <c r="BE16" s="49"/>
      <c r="BF16" s="50"/>
      <c r="BG16" s="48"/>
      <c r="BH16" s="49"/>
      <c r="BI16" s="50"/>
      <c r="BJ16" s="48"/>
      <c r="BK16" s="51"/>
      <c r="BL16" s="47"/>
      <c r="BM16" s="48"/>
      <c r="BN16" s="49"/>
      <c r="BO16" s="50"/>
      <c r="BP16" s="48"/>
      <c r="BQ16" s="49"/>
      <c r="BR16" s="50"/>
      <c r="BS16" s="48"/>
      <c r="BT16" s="49"/>
      <c r="BU16" s="50"/>
      <c r="BV16" s="48"/>
      <c r="BW16" s="51"/>
      <c r="BX16" s="47"/>
      <c r="BY16" s="48"/>
      <c r="BZ16" s="49"/>
      <c r="CA16" s="50"/>
      <c r="CB16" s="48"/>
      <c r="CC16" s="49"/>
      <c r="CD16" s="50"/>
      <c r="CE16" s="48"/>
      <c r="CF16" s="49"/>
      <c r="CG16" s="50"/>
      <c r="CH16" s="48"/>
      <c r="CI16" s="51"/>
      <c r="CJ16" s="47"/>
      <c r="CK16" s="48"/>
      <c r="CL16" s="49"/>
      <c r="CM16" s="50"/>
      <c r="CN16" s="48"/>
      <c r="CO16" s="49"/>
      <c r="CP16" s="50"/>
      <c r="CQ16" s="48"/>
      <c r="CR16" s="49"/>
      <c r="CS16" s="50"/>
      <c r="CT16" s="48"/>
      <c r="CU16" s="51"/>
      <c r="CV16" s="47"/>
      <c r="CW16" s="48"/>
      <c r="CX16" s="49"/>
      <c r="CY16" s="50"/>
      <c r="CZ16" s="48"/>
      <c r="DA16" s="49"/>
      <c r="DB16" s="50"/>
      <c r="DC16" s="48"/>
      <c r="DD16" s="49"/>
      <c r="DE16" s="50"/>
      <c r="DF16" s="48"/>
      <c r="DG16" s="51"/>
      <c r="DH16" s="47"/>
      <c r="DI16" s="48"/>
      <c r="DJ16" s="49"/>
      <c r="DK16" s="50"/>
      <c r="DL16" s="48"/>
      <c r="DM16" s="49"/>
      <c r="DN16" s="50"/>
      <c r="DO16" s="48"/>
      <c r="DP16" s="49"/>
      <c r="DQ16" s="50"/>
      <c r="DR16" s="48"/>
      <c r="DS16" s="51"/>
      <c r="DT16" s="47"/>
      <c r="DU16" s="48"/>
      <c r="DV16" s="49"/>
      <c r="DW16" s="50"/>
      <c r="DX16" s="48"/>
      <c r="DY16" s="49"/>
      <c r="DZ16" s="50"/>
      <c r="EA16" s="48"/>
      <c r="EB16" s="49"/>
      <c r="EC16" s="50"/>
      <c r="ED16" s="48"/>
      <c r="EE16" s="51"/>
      <c r="EF16" s="47"/>
      <c r="EG16" s="48"/>
      <c r="EH16" s="49"/>
      <c r="EI16" s="50"/>
      <c r="EJ16" s="48"/>
      <c r="EK16" s="49"/>
      <c r="EL16" s="50"/>
      <c r="EM16" s="48"/>
      <c r="EN16" s="49"/>
      <c r="EO16" s="50"/>
      <c r="EP16" s="48"/>
      <c r="EQ16" s="51"/>
      <c r="ER16" s="47"/>
      <c r="ES16" s="48"/>
      <c r="ET16" s="49"/>
      <c r="EU16" s="50"/>
      <c r="EV16" s="48"/>
      <c r="EW16" s="49"/>
      <c r="EX16" s="50"/>
      <c r="EY16" s="48"/>
      <c r="EZ16" s="49"/>
      <c r="FA16" s="50"/>
      <c r="FB16" s="48"/>
      <c r="FC16" s="51"/>
      <c r="FD16" s="47"/>
      <c r="FE16" s="48"/>
      <c r="FF16" s="49"/>
      <c r="FG16" s="50"/>
      <c r="FH16" s="48"/>
      <c r="FI16" s="49"/>
      <c r="FJ16" s="50"/>
      <c r="FK16" s="48"/>
      <c r="FL16" s="49"/>
      <c r="FM16" s="50"/>
      <c r="FN16" s="48"/>
      <c r="FO16" s="51"/>
      <c r="FP16" s="47"/>
      <c r="FQ16" s="48"/>
      <c r="FR16" s="49"/>
      <c r="FS16" s="50"/>
      <c r="FT16" s="48"/>
      <c r="FU16" s="49"/>
      <c r="FV16" s="50"/>
      <c r="FW16" s="48"/>
      <c r="FX16" s="49"/>
      <c r="FY16" s="50"/>
      <c r="FZ16" s="48"/>
      <c r="GA16" s="51"/>
      <c r="GB16" s="47"/>
      <c r="GC16" s="48"/>
      <c r="GD16" s="49"/>
      <c r="GE16" s="50"/>
      <c r="GF16" s="48"/>
      <c r="GG16" s="49"/>
      <c r="GH16" s="50"/>
      <c r="GI16" s="48"/>
      <c r="GJ16" s="49"/>
      <c r="GK16" s="50"/>
      <c r="GL16" s="48"/>
      <c r="GM16" s="52"/>
      <c r="GN16" s="22"/>
    </row>
    <row r="17" spans="1:196" ht="20.100000000000001" customHeight="1">
      <c r="A17" s="53" t="str">
        <f>IF(LEN(B21)=0,"",B21)</f>
        <v>Culture économique des entreprises</v>
      </c>
      <c r="B17" s="199" t="s">
        <v>34</v>
      </c>
      <c r="C17" s="75">
        <v>0</v>
      </c>
      <c r="D17" s="41"/>
      <c r="E17" s="42"/>
      <c r="F17" s="43"/>
      <c r="G17" s="44"/>
      <c r="H17" s="42"/>
      <c r="I17" s="43"/>
      <c r="J17" s="44"/>
      <c r="K17" s="42"/>
      <c r="L17" s="43"/>
      <c r="M17" s="44"/>
      <c r="N17" s="42"/>
      <c r="O17" s="45"/>
      <c r="P17" s="41"/>
      <c r="Q17" s="42"/>
      <c r="R17" s="43"/>
      <c r="S17" s="44"/>
      <c r="T17" s="42"/>
      <c r="U17" s="43"/>
      <c r="V17" s="44"/>
      <c r="W17" s="42"/>
      <c r="X17" s="43"/>
      <c r="Y17" s="44"/>
      <c r="Z17" s="42"/>
      <c r="AA17" s="45"/>
      <c r="AB17" s="41"/>
      <c r="AC17" s="42"/>
      <c r="AD17" s="43"/>
      <c r="AE17" s="44"/>
      <c r="AF17" s="42"/>
      <c r="AG17" s="43"/>
      <c r="AH17" s="44"/>
      <c r="AI17" s="42"/>
      <c r="AJ17" s="43"/>
      <c r="AK17" s="44"/>
      <c r="AL17" s="42"/>
      <c r="AM17" s="45"/>
      <c r="AN17" s="41"/>
      <c r="AO17" s="42"/>
      <c r="AP17" s="43"/>
      <c r="AQ17" s="44"/>
      <c r="AR17" s="42"/>
      <c r="AS17" s="43"/>
      <c r="AT17" s="44"/>
      <c r="AU17" s="42"/>
      <c r="AV17" s="43"/>
      <c r="AW17" s="44"/>
      <c r="AX17" s="42"/>
      <c r="AY17" s="45"/>
      <c r="AZ17" s="41"/>
      <c r="BA17" s="42"/>
      <c r="BB17" s="43"/>
      <c r="BC17" s="44"/>
      <c r="BD17" s="42"/>
      <c r="BE17" s="43"/>
      <c r="BF17" s="44"/>
      <c r="BG17" s="42"/>
      <c r="BH17" s="43"/>
      <c r="BI17" s="44"/>
      <c r="BJ17" s="42"/>
      <c r="BK17" s="45"/>
      <c r="BL17" s="41"/>
      <c r="BM17" s="42"/>
      <c r="BN17" s="43"/>
      <c r="BO17" s="44"/>
      <c r="BP17" s="42"/>
      <c r="BQ17" s="43"/>
      <c r="BR17" s="44"/>
      <c r="BS17" s="42"/>
      <c r="BT17" s="43"/>
      <c r="BU17" s="44"/>
      <c r="BV17" s="42"/>
      <c r="BW17" s="45"/>
      <c r="BX17" s="41"/>
      <c r="BY17" s="42"/>
      <c r="BZ17" s="43"/>
      <c r="CA17" s="44"/>
      <c r="CB17" s="42"/>
      <c r="CC17" s="43"/>
      <c r="CD17" s="44"/>
      <c r="CE17" s="42"/>
      <c r="CF17" s="43"/>
      <c r="CG17" s="44"/>
      <c r="CH17" s="42"/>
      <c r="CI17" s="45"/>
      <c r="CJ17" s="41"/>
      <c r="CK17" s="42"/>
      <c r="CL17" s="43"/>
      <c r="CM17" s="44"/>
      <c r="CN17" s="42"/>
      <c r="CO17" s="43"/>
      <c r="CP17" s="44"/>
      <c r="CQ17" s="42"/>
      <c r="CR17" s="43"/>
      <c r="CS17" s="44"/>
      <c r="CT17" s="42"/>
      <c r="CU17" s="45"/>
      <c r="CV17" s="41"/>
      <c r="CW17" s="42"/>
      <c r="CX17" s="43"/>
      <c r="CY17" s="44"/>
      <c r="CZ17" s="42"/>
      <c r="DA17" s="43"/>
      <c r="DB17" s="44"/>
      <c r="DC17" s="42"/>
      <c r="DD17" s="43"/>
      <c r="DE17" s="44"/>
      <c r="DF17" s="42"/>
      <c r="DG17" s="45"/>
      <c r="DH17" s="41"/>
      <c r="DI17" s="42"/>
      <c r="DJ17" s="43"/>
      <c r="DK17" s="44"/>
      <c r="DL17" s="42"/>
      <c r="DM17" s="43"/>
      <c r="DN17" s="44"/>
      <c r="DO17" s="42"/>
      <c r="DP17" s="43"/>
      <c r="DQ17" s="44"/>
      <c r="DR17" s="42"/>
      <c r="DS17" s="45"/>
      <c r="DT17" s="41"/>
      <c r="DU17" s="42"/>
      <c r="DV17" s="43"/>
      <c r="DW17" s="44"/>
      <c r="DX17" s="42"/>
      <c r="DY17" s="43"/>
      <c r="DZ17" s="44"/>
      <c r="EA17" s="42"/>
      <c r="EB17" s="43"/>
      <c r="EC17" s="44"/>
      <c r="ED17" s="42"/>
      <c r="EE17" s="45"/>
      <c r="EF17" s="41"/>
      <c r="EG17" s="42"/>
      <c r="EH17" s="43"/>
      <c r="EI17" s="44"/>
      <c r="EJ17" s="42"/>
      <c r="EK17" s="43"/>
      <c r="EL17" s="44"/>
      <c r="EM17" s="42"/>
      <c r="EN17" s="43"/>
      <c r="EO17" s="44"/>
      <c r="EP17" s="42"/>
      <c r="EQ17" s="45"/>
      <c r="ER17" s="41"/>
      <c r="ES17" s="42"/>
      <c r="ET17" s="43"/>
      <c r="EU17" s="44"/>
      <c r="EV17" s="42"/>
      <c r="EW17" s="43"/>
      <c r="EX17" s="44"/>
      <c r="EY17" s="42"/>
      <c r="EZ17" s="43"/>
      <c r="FA17" s="44"/>
      <c r="FB17" s="42"/>
      <c r="FC17" s="45"/>
      <c r="FD17" s="41"/>
      <c r="FE17" s="42"/>
      <c r="FF17" s="43"/>
      <c r="FG17" s="44"/>
      <c r="FH17" s="42"/>
      <c r="FI17" s="43"/>
      <c r="FJ17" s="44"/>
      <c r="FK17" s="42"/>
      <c r="FL17" s="43"/>
      <c r="FM17" s="44"/>
      <c r="FN17" s="42"/>
      <c r="FO17" s="45"/>
      <c r="FP17" s="41"/>
      <c r="FQ17" s="42"/>
      <c r="FR17" s="43"/>
      <c r="FS17" s="44"/>
      <c r="FT17" s="42"/>
      <c r="FU17" s="43"/>
      <c r="FV17" s="44"/>
      <c r="FW17" s="42"/>
      <c r="FX17" s="43"/>
      <c r="FY17" s="44"/>
      <c r="FZ17" s="42"/>
      <c r="GA17" s="45"/>
      <c r="GB17" s="35"/>
      <c r="GC17" s="36"/>
      <c r="GD17" s="37"/>
      <c r="GE17" s="38"/>
      <c r="GF17" s="36"/>
      <c r="GG17" s="37"/>
      <c r="GH17" s="38"/>
      <c r="GI17" s="36"/>
      <c r="GJ17" s="37"/>
      <c r="GK17" s="38"/>
      <c r="GL17" s="36"/>
      <c r="GM17" s="40"/>
      <c r="GN17" s="22"/>
    </row>
    <row r="18" spans="1:196" ht="20.100000000000001" customHeight="1">
      <c r="A18" s="53" t="str">
        <f>IF(LEN(B23)=0,"",B23)</f>
        <v>Réaliser un projet d'entreprise</v>
      </c>
      <c r="B18" s="207"/>
      <c r="C18" s="76">
        <v>0</v>
      </c>
      <c r="D18" s="47"/>
      <c r="E18" s="48"/>
      <c r="F18" s="49"/>
      <c r="G18" s="50"/>
      <c r="H18" s="48"/>
      <c r="I18" s="49"/>
      <c r="J18" s="50"/>
      <c r="K18" s="48"/>
      <c r="L18" s="49"/>
      <c r="M18" s="50"/>
      <c r="N18" s="48"/>
      <c r="O18" s="51"/>
      <c r="P18" s="47"/>
      <c r="Q18" s="48"/>
      <c r="R18" s="49"/>
      <c r="S18" s="50"/>
      <c r="T18" s="48"/>
      <c r="U18" s="49"/>
      <c r="V18" s="50"/>
      <c r="W18" s="48"/>
      <c r="X18" s="49"/>
      <c r="Y18" s="50"/>
      <c r="Z18" s="48"/>
      <c r="AA18" s="51"/>
      <c r="AB18" s="47"/>
      <c r="AC18" s="48"/>
      <c r="AD18" s="49"/>
      <c r="AE18" s="50"/>
      <c r="AF18" s="48"/>
      <c r="AG18" s="49"/>
      <c r="AH18" s="50"/>
      <c r="AI18" s="48"/>
      <c r="AJ18" s="49"/>
      <c r="AK18" s="50"/>
      <c r="AL18" s="48"/>
      <c r="AM18" s="51"/>
      <c r="AN18" s="47"/>
      <c r="AO18" s="48"/>
      <c r="AP18" s="49"/>
      <c r="AQ18" s="50"/>
      <c r="AR18" s="48"/>
      <c r="AS18" s="49"/>
      <c r="AT18" s="50"/>
      <c r="AU18" s="48"/>
      <c r="AV18" s="49"/>
      <c r="AW18" s="50"/>
      <c r="AX18" s="48"/>
      <c r="AY18" s="51"/>
      <c r="AZ18" s="47"/>
      <c r="BA18" s="48"/>
      <c r="BB18" s="49"/>
      <c r="BC18" s="50"/>
      <c r="BD18" s="48"/>
      <c r="BE18" s="49"/>
      <c r="BF18" s="50"/>
      <c r="BG18" s="48"/>
      <c r="BH18" s="49"/>
      <c r="BI18" s="50"/>
      <c r="BJ18" s="48"/>
      <c r="BK18" s="51"/>
      <c r="BL18" s="47"/>
      <c r="BM18" s="48"/>
      <c r="BN18" s="49"/>
      <c r="BO18" s="50"/>
      <c r="BP18" s="48"/>
      <c r="BQ18" s="49"/>
      <c r="BR18" s="50"/>
      <c r="BS18" s="48"/>
      <c r="BT18" s="49"/>
      <c r="BU18" s="50"/>
      <c r="BV18" s="48"/>
      <c r="BW18" s="51"/>
      <c r="BX18" s="47"/>
      <c r="BY18" s="48"/>
      <c r="BZ18" s="49"/>
      <c r="CA18" s="50"/>
      <c r="CB18" s="48"/>
      <c r="CC18" s="49"/>
      <c r="CD18" s="50"/>
      <c r="CE18" s="48"/>
      <c r="CF18" s="49"/>
      <c r="CG18" s="50"/>
      <c r="CH18" s="48"/>
      <c r="CI18" s="51"/>
      <c r="CJ18" s="47"/>
      <c r="CK18" s="48"/>
      <c r="CL18" s="49"/>
      <c r="CM18" s="50"/>
      <c r="CN18" s="48"/>
      <c r="CO18" s="49"/>
      <c r="CP18" s="50"/>
      <c r="CQ18" s="48"/>
      <c r="CR18" s="49"/>
      <c r="CS18" s="50"/>
      <c r="CT18" s="48"/>
      <c r="CU18" s="51"/>
      <c r="CV18" s="47"/>
      <c r="CW18" s="48"/>
      <c r="CX18" s="49"/>
      <c r="CY18" s="50"/>
      <c r="CZ18" s="48"/>
      <c r="DA18" s="49"/>
      <c r="DB18" s="50"/>
      <c r="DC18" s="48"/>
      <c r="DD18" s="49"/>
      <c r="DE18" s="50"/>
      <c r="DF18" s="48"/>
      <c r="DG18" s="51"/>
      <c r="DH18" s="47"/>
      <c r="DI18" s="48"/>
      <c r="DJ18" s="49"/>
      <c r="DK18" s="50"/>
      <c r="DL18" s="48"/>
      <c r="DM18" s="49"/>
      <c r="DN18" s="50"/>
      <c r="DO18" s="48"/>
      <c r="DP18" s="49"/>
      <c r="DQ18" s="50"/>
      <c r="DR18" s="48"/>
      <c r="DS18" s="51"/>
      <c r="DT18" s="47"/>
      <c r="DU18" s="48"/>
      <c r="DV18" s="49"/>
      <c r="DW18" s="50"/>
      <c r="DX18" s="48"/>
      <c r="DY18" s="49"/>
      <c r="DZ18" s="50"/>
      <c r="EA18" s="48"/>
      <c r="EB18" s="49"/>
      <c r="EC18" s="50"/>
      <c r="ED18" s="48"/>
      <c r="EE18" s="51"/>
      <c r="EF18" s="47"/>
      <c r="EG18" s="48"/>
      <c r="EH18" s="49"/>
      <c r="EI18" s="50"/>
      <c r="EJ18" s="48"/>
      <c r="EK18" s="49"/>
      <c r="EL18" s="50"/>
      <c r="EM18" s="48"/>
      <c r="EN18" s="49"/>
      <c r="EO18" s="50"/>
      <c r="EP18" s="48"/>
      <c r="EQ18" s="51"/>
      <c r="ER18" s="47"/>
      <c r="ES18" s="48"/>
      <c r="ET18" s="49"/>
      <c r="EU18" s="50"/>
      <c r="EV18" s="48"/>
      <c r="EW18" s="49"/>
      <c r="EX18" s="50"/>
      <c r="EY18" s="48"/>
      <c r="EZ18" s="49"/>
      <c r="FA18" s="50"/>
      <c r="FB18" s="48"/>
      <c r="FC18" s="51"/>
      <c r="FD18" s="47"/>
      <c r="FE18" s="48"/>
      <c r="FF18" s="49"/>
      <c r="FG18" s="50"/>
      <c r="FH18" s="48"/>
      <c r="FI18" s="49"/>
      <c r="FJ18" s="50"/>
      <c r="FK18" s="48"/>
      <c r="FL18" s="49"/>
      <c r="FM18" s="50"/>
      <c r="FN18" s="48"/>
      <c r="FO18" s="51"/>
      <c r="FP18" s="47"/>
      <c r="FQ18" s="48"/>
      <c r="FR18" s="49"/>
      <c r="FS18" s="50"/>
      <c r="FT18" s="48"/>
      <c r="FU18" s="49"/>
      <c r="FV18" s="50"/>
      <c r="FW18" s="48"/>
      <c r="FX18" s="49"/>
      <c r="FY18" s="50"/>
      <c r="FZ18" s="48"/>
      <c r="GA18" s="51"/>
      <c r="GB18" s="28"/>
      <c r="GC18" s="29"/>
      <c r="GD18" s="30"/>
      <c r="GE18" s="31"/>
      <c r="GF18" s="29"/>
      <c r="GG18" s="30"/>
      <c r="GH18" s="31"/>
      <c r="GI18" s="29"/>
      <c r="GJ18" s="30"/>
      <c r="GK18" s="31"/>
      <c r="GL18" s="29"/>
      <c r="GM18" s="34"/>
      <c r="GN18" s="22"/>
    </row>
    <row r="19" spans="1:196" ht="20.100000000000001" customHeight="1">
      <c r="A19" s="53" t="str">
        <f>IF(LEN(B25)=0,"",B25)</f>
        <v>Evaluation</v>
      </c>
      <c r="B19" s="199" t="s">
        <v>35</v>
      </c>
      <c r="C19" s="75">
        <v>0</v>
      </c>
      <c r="D19" s="41"/>
      <c r="E19" s="42"/>
      <c r="F19" s="43"/>
      <c r="G19" s="44"/>
      <c r="H19" s="42"/>
      <c r="I19" s="43"/>
      <c r="J19" s="44"/>
      <c r="K19" s="42"/>
      <c r="L19" s="43"/>
      <c r="M19" s="44"/>
      <c r="N19" s="42"/>
      <c r="O19" s="45"/>
      <c r="P19" s="41"/>
      <c r="Q19" s="42"/>
      <c r="R19" s="43"/>
      <c r="S19" s="44"/>
      <c r="T19" s="42"/>
      <c r="U19" s="43"/>
      <c r="V19" s="44"/>
      <c r="W19" s="42"/>
      <c r="X19" s="43"/>
      <c r="Y19" s="44"/>
      <c r="Z19" s="42"/>
      <c r="AA19" s="45"/>
      <c r="AB19" s="41"/>
      <c r="AC19" s="42"/>
      <c r="AD19" s="43"/>
      <c r="AE19" s="44"/>
      <c r="AF19" s="42"/>
      <c r="AG19" s="43"/>
      <c r="AH19" s="44"/>
      <c r="AI19" s="42"/>
      <c r="AJ19" s="43"/>
      <c r="AK19" s="44"/>
      <c r="AL19" s="42"/>
      <c r="AM19" s="45"/>
      <c r="AN19" s="41"/>
      <c r="AO19" s="42"/>
      <c r="AP19" s="43"/>
      <c r="AQ19" s="44"/>
      <c r="AR19" s="42"/>
      <c r="AS19" s="43"/>
      <c r="AT19" s="44"/>
      <c r="AU19" s="42"/>
      <c r="AV19" s="43"/>
      <c r="AW19" s="44"/>
      <c r="AX19" s="42"/>
      <c r="AY19" s="45"/>
      <c r="AZ19" s="41"/>
      <c r="BA19" s="42"/>
      <c r="BB19" s="43"/>
      <c r="BC19" s="44"/>
      <c r="BD19" s="42"/>
      <c r="BE19" s="43"/>
      <c r="BF19" s="44"/>
      <c r="BG19" s="42"/>
      <c r="BH19" s="43"/>
      <c r="BI19" s="44"/>
      <c r="BJ19" s="42"/>
      <c r="BK19" s="45"/>
      <c r="BL19" s="41"/>
      <c r="BM19" s="42"/>
      <c r="BN19" s="43"/>
      <c r="BO19" s="44"/>
      <c r="BP19" s="42"/>
      <c r="BQ19" s="43"/>
      <c r="BR19" s="44"/>
      <c r="BS19" s="42"/>
      <c r="BT19" s="43"/>
      <c r="BU19" s="44"/>
      <c r="BV19" s="42"/>
      <c r="BW19" s="45"/>
      <c r="BX19" s="41"/>
      <c r="BY19" s="42"/>
      <c r="BZ19" s="43"/>
      <c r="CA19" s="44"/>
      <c r="CB19" s="42"/>
      <c r="CC19" s="43"/>
      <c r="CD19" s="44"/>
      <c r="CE19" s="42"/>
      <c r="CF19" s="43"/>
      <c r="CG19" s="44"/>
      <c r="CH19" s="42"/>
      <c r="CI19" s="45"/>
      <c r="CJ19" s="41"/>
      <c r="CK19" s="42"/>
      <c r="CL19" s="43"/>
      <c r="CM19" s="44"/>
      <c r="CN19" s="42"/>
      <c r="CO19" s="43"/>
      <c r="CP19" s="44"/>
      <c r="CQ19" s="42"/>
      <c r="CR19" s="43"/>
      <c r="CS19" s="44"/>
      <c r="CT19" s="42"/>
      <c r="CU19" s="45"/>
      <c r="CV19" s="41"/>
      <c r="CW19" s="42"/>
      <c r="CX19" s="43"/>
      <c r="CY19" s="44"/>
      <c r="CZ19" s="42"/>
      <c r="DA19" s="43"/>
      <c r="DB19" s="44"/>
      <c r="DC19" s="42"/>
      <c r="DD19" s="43"/>
      <c r="DE19" s="44"/>
      <c r="DF19" s="42"/>
      <c r="DG19" s="45"/>
      <c r="DH19" s="41"/>
      <c r="DI19" s="42"/>
      <c r="DJ19" s="43"/>
      <c r="DK19" s="44"/>
      <c r="DL19" s="42"/>
      <c r="DM19" s="43"/>
      <c r="DN19" s="44"/>
      <c r="DO19" s="42"/>
      <c r="DP19" s="43"/>
      <c r="DQ19" s="44"/>
      <c r="DR19" s="42"/>
      <c r="DS19" s="45"/>
      <c r="DT19" s="41"/>
      <c r="DU19" s="42"/>
      <c r="DV19" s="43"/>
      <c r="DW19" s="44"/>
      <c r="DX19" s="42"/>
      <c r="DY19" s="43"/>
      <c r="DZ19" s="44"/>
      <c r="EA19" s="42"/>
      <c r="EB19" s="43"/>
      <c r="EC19" s="44"/>
      <c r="ED19" s="42"/>
      <c r="EE19" s="45"/>
      <c r="EF19" s="41"/>
      <c r="EG19" s="42"/>
      <c r="EH19" s="43"/>
      <c r="EI19" s="44"/>
      <c r="EJ19" s="42"/>
      <c r="EK19" s="43"/>
      <c r="EL19" s="44"/>
      <c r="EM19" s="42"/>
      <c r="EN19" s="43"/>
      <c r="EO19" s="44"/>
      <c r="EP19" s="42"/>
      <c r="EQ19" s="45"/>
      <c r="ER19" s="41"/>
      <c r="ES19" s="42"/>
      <c r="ET19" s="43"/>
      <c r="EU19" s="44"/>
      <c r="EV19" s="42"/>
      <c r="EW19" s="43"/>
      <c r="EX19" s="44"/>
      <c r="EY19" s="42"/>
      <c r="EZ19" s="43"/>
      <c r="FA19" s="44"/>
      <c r="FB19" s="42"/>
      <c r="FC19" s="45"/>
      <c r="FD19" s="41"/>
      <c r="FE19" s="42"/>
      <c r="FF19" s="43"/>
      <c r="FG19" s="44"/>
      <c r="FH19" s="42"/>
      <c r="FI19" s="43"/>
      <c r="FJ19" s="44"/>
      <c r="FK19" s="42"/>
      <c r="FL19" s="43"/>
      <c r="FM19" s="44"/>
      <c r="FN19" s="42"/>
      <c r="FO19" s="45"/>
      <c r="FP19" s="41"/>
      <c r="FQ19" s="42"/>
      <c r="FR19" s="43"/>
      <c r="FS19" s="44"/>
      <c r="FT19" s="42"/>
      <c r="FU19" s="43"/>
      <c r="FV19" s="44"/>
      <c r="FW19" s="42"/>
      <c r="FX19" s="43"/>
      <c r="FY19" s="44"/>
      <c r="FZ19" s="42"/>
      <c r="GA19" s="45"/>
      <c r="GB19" s="41"/>
      <c r="GC19" s="42"/>
      <c r="GD19" s="43"/>
      <c r="GE19" s="44"/>
      <c r="GF19" s="42"/>
      <c r="GG19" s="43"/>
      <c r="GH19" s="44"/>
      <c r="GI19" s="42"/>
      <c r="GJ19" s="43"/>
      <c r="GK19" s="44"/>
      <c r="GL19" s="42"/>
      <c r="GM19" s="46"/>
      <c r="GN19" s="22"/>
    </row>
    <row r="20" spans="1:196" ht="20.100000000000001" customHeight="1">
      <c r="A20" s="53" t="str">
        <f>IF(LEN(B27)=0,"",B27)</f>
        <v/>
      </c>
      <c r="B20" s="200"/>
      <c r="C20" s="76">
        <v>0</v>
      </c>
      <c r="D20" s="47"/>
      <c r="E20" s="48"/>
      <c r="F20" s="49"/>
      <c r="G20" s="50"/>
      <c r="H20" s="48"/>
      <c r="I20" s="49"/>
      <c r="J20" s="50"/>
      <c r="K20" s="48"/>
      <c r="L20" s="49"/>
      <c r="M20" s="50"/>
      <c r="N20" s="48"/>
      <c r="O20" s="51"/>
      <c r="P20" s="47"/>
      <c r="Q20" s="48"/>
      <c r="R20" s="49"/>
      <c r="S20" s="50"/>
      <c r="T20" s="48"/>
      <c r="U20" s="49"/>
      <c r="V20" s="50"/>
      <c r="W20" s="48"/>
      <c r="X20" s="49"/>
      <c r="Y20" s="50"/>
      <c r="Z20" s="48"/>
      <c r="AA20" s="51"/>
      <c r="AB20" s="47"/>
      <c r="AC20" s="48"/>
      <c r="AD20" s="49"/>
      <c r="AE20" s="50"/>
      <c r="AF20" s="48"/>
      <c r="AG20" s="49"/>
      <c r="AH20" s="50"/>
      <c r="AI20" s="48"/>
      <c r="AJ20" s="49"/>
      <c r="AK20" s="50"/>
      <c r="AL20" s="48"/>
      <c r="AM20" s="51"/>
      <c r="AN20" s="47"/>
      <c r="AO20" s="48"/>
      <c r="AP20" s="49"/>
      <c r="AQ20" s="50"/>
      <c r="AR20" s="48"/>
      <c r="AS20" s="49"/>
      <c r="AT20" s="50"/>
      <c r="AU20" s="48"/>
      <c r="AV20" s="49"/>
      <c r="AW20" s="50"/>
      <c r="AX20" s="48"/>
      <c r="AY20" s="51"/>
      <c r="AZ20" s="47"/>
      <c r="BA20" s="48"/>
      <c r="BB20" s="49"/>
      <c r="BC20" s="50"/>
      <c r="BD20" s="48"/>
      <c r="BE20" s="49"/>
      <c r="BF20" s="50"/>
      <c r="BG20" s="48"/>
      <c r="BH20" s="49"/>
      <c r="BI20" s="50"/>
      <c r="BJ20" s="48"/>
      <c r="BK20" s="51"/>
      <c r="BL20" s="47"/>
      <c r="BM20" s="48"/>
      <c r="BN20" s="49"/>
      <c r="BO20" s="50"/>
      <c r="BP20" s="48"/>
      <c r="BQ20" s="49"/>
      <c r="BR20" s="50"/>
      <c r="BS20" s="48"/>
      <c r="BT20" s="49"/>
      <c r="BU20" s="50"/>
      <c r="BV20" s="48"/>
      <c r="BW20" s="51"/>
      <c r="BX20" s="47"/>
      <c r="BY20" s="48"/>
      <c r="BZ20" s="49"/>
      <c r="CA20" s="50"/>
      <c r="CB20" s="48"/>
      <c r="CC20" s="49"/>
      <c r="CD20" s="50"/>
      <c r="CE20" s="48"/>
      <c r="CF20" s="49"/>
      <c r="CG20" s="50"/>
      <c r="CH20" s="48"/>
      <c r="CI20" s="51"/>
      <c r="CJ20" s="47"/>
      <c r="CK20" s="48"/>
      <c r="CL20" s="49"/>
      <c r="CM20" s="50"/>
      <c r="CN20" s="48"/>
      <c r="CO20" s="49"/>
      <c r="CP20" s="50"/>
      <c r="CQ20" s="48"/>
      <c r="CR20" s="49"/>
      <c r="CS20" s="50"/>
      <c r="CT20" s="48"/>
      <c r="CU20" s="51"/>
      <c r="CV20" s="47"/>
      <c r="CW20" s="48"/>
      <c r="CX20" s="49"/>
      <c r="CY20" s="50"/>
      <c r="CZ20" s="48"/>
      <c r="DA20" s="49"/>
      <c r="DB20" s="50"/>
      <c r="DC20" s="48"/>
      <c r="DD20" s="49"/>
      <c r="DE20" s="50"/>
      <c r="DF20" s="48"/>
      <c r="DG20" s="51"/>
      <c r="DH20" s="47"/>
      <c r="DI20" s="48"/>
      <c r="DJ20" s="49"/>
      <c r="DK20" s="50"/>
      <c r="DL20" s="48"/>
      <c r="DM20" s="49"/>
      <c r="DN20" s="50"/>
      <c r="DO20" s="48"/>
      <c r="DP20" s="49"/>
      <c r="DQ20" s="50"/>
      <c r="DR20" s="48"/>
      <c r="DS20" s="51"/>
      <c r="DT20" s="47"/>
      <c r="DU20" s="48"/>
      <c r="DV20" s="49"/>
      <c r="DW20" s="50"/>
      <c r="DX20" s="48"/>
      <c r="DY20" s="49"/>
      <c r="DZ20" s="50"/>
      <c r="EA20" s="48"/>
      <c r="EB20" s="49"/>
      <c r="EC20" s="50"/>
      <c r="ED20" s="48"/>
      <c r="EE20" s="51"/>
      <c r="EF20" s="47"/>
      <c r="EG20" s="48"/>
      <c r="EH20" s="49"/>
      <c r="EI20" s="50"/>
      <c r="EJ20" s="48"/>
      <c r="EK20" s="49"/>
      <c r="EL20" s="50"/>
      <c r="EM20" s="48"/>
      <c r="EN20" s="49"/>
      <c r="EO20" s="50"/>
      <c r="EP20" s="48"/>
      <c r="EQ20" s="51"/>
      <c r="ER20" s="47"/>
      <c r="ES20" s="48"/>
      <c r="ET20" s="49"/>
      <c r="EU20" s="50"/>
      <c r="EV20" s="48"/>
      <c r="EW20" s="49"/>
      <c r="EX20" s="50"/>
      <c r="EY20" s="48"/>
      <c r="EZ20" s="49"/>
      <c r="FA20" s="50"/>
      <c r="FB20" s="48"/>
      <c r="FC20" s="51"/>
      <c r="FD20" s="47"/>
      <c r="FE20" s="48"/>
      <c r="FF20" s="49"/>
      <c r="FG20" s="50"/>
      <c r="FH20" s="48"/>
      <c r="FI20" s="49"/>
      <c r="FJ20" s="50"/>
      <c r="FK20" s="48"/>
      <c r="FL20" s="49"/>
      <c r="FM20" s="50"/>
      <c r="FN20" s="48"/>
      <c r="FO20" s="51"/>
      <c r="FP20" s="47"/>
      <c r="FQ20" s="48"/>
      <c r="FR20" s="49"/>
      <c r="FS20" s="50"/>
      <c r="FT20" s="48"/>
      <c r="FU20" s="49"/>
      <c r="FV20" s="50"/>
      <c r="FW20" s="48"/>
      <c r="FX20" s="49"/>
      <c r="FY20" s="50"/>
      <c r="FZ20" s="48"/>
      <c r="GA20" s="51"/>
      <c r="GB20" s="47"/>
      <c r="GC20" s="48"/>
      <c r="GD20" s="49"/>
      <c r="GE20" s="50"/>
      <c r="GF20" s="48"/>
      <c r="GG20" s="49"/>
      <c r="GH20" s="50"/>
      <c r="GI20" s="48"/>
      <c r="GJ20" s="49"/>
      <c r="GK20" s="50"/>
      <c r="GL20" s="48"/>
      <c r="GM20" s="52"/>
      <c r="GN20" s="22"/>
    </row>
    <row r="21" spans="1:196" ht="20.100000000000001" customHeight="1">
      <c r="A21" s="53" t="str">
        <f>IF(LEN(B29)=0,"",B29)</f>
        <v/>
      </c>
      <c r="B21" s="199" t="s">
        <v>36</v>
      </c>
      <c r="C21" s="75">
        <v>0</v>
      </c>
      <c r="D21" s="41"/>
      <c r="E21" s="42"/>
      <c r="F21" s="43"/>
      <c r="G21" s="44"/>
      <c r="H21" s="42"/>
      <c r="I21" s="43"/>
      <c r="J21" s="44"/>
      <c r="K21" s="42"/>
      <c r="L21" s="43"/>
      <c r="M21" s="44"/>
      <c r="N21" s="42"/>
      <c r="O21" s="45"/>
      <c r="P21" s="41"/>
      <c r="Q21" s="42"/>
      <c r="R21" s="43"/>
      <c r="S21" s="44"/>
      <c r="T21" s="42"/>
      <c r="U21" s="43"/>
      <c r="V21" s="44"/>
      <c r="W21" s="42"/>
      <c r="X21" s="43"/>
      <c r="Y21" s="44"/>
      <c r="Z21" s="42"/>
      <c r="AA21" s="45"/>
      <c r="AB21" s="41"/>
      <c r="AC21" s="42"/>
      <c r="AD21" s="43"/>
      <c r="AE21" s="44"/>
      <c r="AF21" s="42"/>
      <c r="AG21" s="43"/>
      <c r="AH21" s="44"/>
      <c r="AI21" s="42"/>
      <c r="AJ21" s="43"/>
      <c r="AK21" s="44"/>
      <c r="AL21" s="42"/>
      <c r="AM21" s="45"/>
      <c r="AN21" s="41"/>
      <c r="AO21" s="42"/>
      <c r="AP21" s="43"/>
      <c r="AQ21" s="44"/>
      <c r="AR21" s="42"/>
      <c r="AS21" s="43"/>
      <c r="AT21" s="44"/>
      <c r="AU21" s="42"/>
      <c r="AV21" s="43"/>
      <c r="AW21" s="44"/>
      <c r="AX21" s="42"/>
      <c r="AY21" s="45"/>
      <c r="AZ21" s="41"/>
      <c r="BA21" s="42"/>
      <c r="BB21" s="43"/>
      <c r="BC21" s="44"/>
      <c r="BD21" s="42"/>
      <c r="BE21" s="43"/>
      <c r="BF21" s="44"/>
      <c r="BG21" s="42"/>
      <c r="BH21" s="43"/>
      <c r="BI21" s="44"/>
      <c r="BJ21" s="42"/>
      <c r="BK21" s="45"/>
      <c r="BL21" s="41"/>
      <c r="BM21" s="42"/>
      <c r="BN21" s="43"/>
      <c r="BO21" s="44"/>
      <c r="BP21" s="42"/>
      <c r="BQ21" s="43"/>
      <c r="BR21" s="44"/>
      <c r="BS21" s="42"/>
      <c r="BT21" s="43"/>
      <c r="BU21" s="44"/>
      <c r="BV21" s="42"/>
      <c r="BW21" s="45"/>
      <c r="BX21" s="41"/>
      <c r="BY21" s="42"/>
      <c r="BZ21" s="43"/>
      <c r="CA21" s="44"/>
      <c r="CB21" s="42"/>
      <c r="CC21" s="43"/>
      <c r="CD21" s="44"/>
      <c r="CE21" s="42"/>
      <c r="CF21" s="43"/>
      <c r="CG21" s="44"/>
      <c r="CH21" s="42"/>
      <c r="CI21" s="45"/>
      <c r="CJ21" s="41"/>
      <c r="CK21" s="42"/>
      <c r="CL21" s="43"/>
      <c r="CM21" s="44"/>
      <c r="CN21" s="42"/>
      <c r="CO21" s="43"/>
      <c r="CP21" s="44"/>
      <c r="CQ21" s="42"/>
      <c r="CR21" s="43"/>
      <c r="CS21" s="44"/>
      <c r="CT21" s="42"/>
      <c r="CU21" s="45"/>
      <c r="CV21" s="41"/>
      <c r="CW21" s="42"/>
      <c r="CX21" s="43"/>
      <c r="CY21" s="44"/>
      <c r="CZ21" s="42"/>
      <c r="DA21" s="43"/>
      <c r="DB21" s="44"/>
      <c r="DC21" s="42"/>
      <c r="DD21" s="43"/>
      <c r="DE21" s="44"/>
      <c r="DF21" s="42"/>
      <c r="DG21" s="45"/>
      <c r="DH21" s="41"/>
      <c r="DI21" s="42"/>
      <c r="DJ21" s="43"/>
      <c r="DK21" s="44"/>
      <c r="DL21" s="42"/>
      <c r="DM21" s="43"/>
      <c r="DN21" s="44"/>
      <c r="DO21" s="42"/>
      <c r="DP21" s="43"/>
      <c r="DQ21" s="44"/>
      <c r="DR21" s="42"/>
      <c r="DS21" s="45"/>
      <c r="DT21" s="41"/>
      <c r="DU21" s="42"/>
      <c r="DV21" s="43"/>
      <c r="DW21" s="44"/>
      <c r="DX21" s="42"/>
      <c r="DY21" s="43"/>
      <c r="DZ21" s="44"/>
      <c r="EA21" s="42"/>
      <c r="EB21" s="43"/>
      <c r="EC21" s="44"/>
      <c r="ED21" s="42"/>
      <c r="EE21" s="45"/>
      <c r="EF21" s="41"/>
      <c r="EG21" s="42"/>
      <c r="EH21" s="43"/>
      <c r="EI21" s="44"/>
      <c r="EJ21" s="42"/>
      <c r="EK21" s="43"/>
      <c r="EL21" s="44"/>
      <c r="EM21" s="42"/>
      <c r="EN21" s="43"/>
      <c r="EO21" s="44"/>
      <c r="EP21" s="42"/>
      <c r="EQ21" s="45"/>
      <c r="ER21" s="41"/>
      <c r="ES21" s="42"/>
      <c r="ET21" s="43"/>
      <c r="EU21" s="44"/>
      <c r="EV21" s="42"/>
      <c r="EW21" s="43"/>
      <c r="EX21" s="44"/>
      <c r="EY21" s="42"/>
      <c r="EZ21" s="43"/>
      <c r="FA21" s="44"/>
      <c r="FB21" s="42"/>
      <c r="FC21" s="45"/>
      <c r="FD21" s="41"/>
      <c r="FE21" s="42"/>
      <c r="FF21" s="43"/>
      <c r="FG21" s="44"/>
      <c r="FH21" s="42"/>
      <c r="FI21" s="43"/>
      <c r="FJ21" s="44"/>
      <c r="FK21" s="42"/>
      <c r="FL21" s="43"/>
      <c r="FM21" s="44"/>
      <c r="FN21" s="42"/>
      <c r="FO21" s="45"/>
      <c r="FP21" s="41"/>
      <c r="FQ21" s="42"/>
      <c r="FR21" s="43"/>
      <c r="FS21" s="44"/>
      <c r="FT21" s="42"/>
      <c r="FU21" s="43"/>
      <c r="FV21" s="44"/>
      <c r="FW21" s="42"/>
      <c r="FX21" s="43"/>
      <c r="FY21" s="44"/>
      <c r="FZ21" s="42"/>
      <c r="GA21" s="45"/>
      <c r="GB21" s="35"/>
      <c r="GC21" s="36"/>
      <c r="GD21" s="37"/>
      <c r="GE21" s="38"/>
      <c r="GF21" s="36"/>
      <c r="GG21" s="37"/>
      <c r="GH21" s="38"/>
      <c r="GI21" s="36"/>
      <c r="GJ21" s="37"/>
      <c r="GK21" s="38"/>
      <c r="GL21" s="36"/>
      <c r="GM21" s="40"/>
      <c r="GN21" s="22"/>
    </row>
    <row r="22" spans="1:196" ht="20.100000000000001" customHeight="1">
      <c r="A22" s="53" t="str">
        <f>IF(LEN(B31)=0,"",B31)</f>
        <v/>
      </c>
      <c r="B22" s="200"/>
      <c r="C22" s="76">
        <v>0</v>
      </c>
      <c r="D22" s="47"/>
      <c r="E22" s="48"/>
      <c r="F22" s="49"/>
      <c r="G22" s="50"/>
      <c r="H22" s="48"/>
      <c r="I22" s="49"/>
      <c r="J22" s="50"/>
      <c r="K22" s="48"/>
      <c r="L22" s="49"/>
      <c r="M22" s="50"/>
      <c r="N22" s="48"/>
      <c r="O22" s="51"/>
      <c r="P22" s="47"/>
      <c r="Q22" s="48"/>
      <c r="R22" s="49"/>
      <c r="S22" s="50"/>
      <c r="T22" s="48"/>
      <c r="U22" s="49"/>
      <c r="V22" s="50"/>
      <c r="W22" s="48"/>
      <c r="X22" s="49"/>
      <c r="Y22" s="50"/>
      <c r="Z22" s="48"/>
      <c r="AA22" s="51"/>
      <c r="AB22" s="47"/>
      <c r="AC22" s="48"/>
      <c r="AD22" s="49"/>
      <c r="AE22" s="50"/>
      <c r="AF22" s="48"/>
      <c r="AG22" s="49"/>
      <c r="AH22" s="50"/>
      <c r="AI22" s="48"/>
      <c r="AJ22" s="49"/>
      <c r="AK22" s="50"/>
      <c r="AL22" s="48"/>
      <c r="AM22" s="51"/>
      <c r="AN22" s="47"/>
      <c r="AO22" s="48"/>
      <c r="AP22" s="49"/>
      <c r="AQ22" s="50"/>
      <c r="AR22" s="48"/>
      <c r="AS22" s="49"/>
      <c r="AT22" s="50"/>
      <c r="AU22" s="48"/>
      <c r="AV22" s="49"/>
      <c r="AW22" s="50"/>
      <c r="AX22" s="48"/>
      <c r="AY22" s="51"/>
      <c r="AZ22" s="47"/>
      <c r="BA22" s="48"/>
      <c r="BB22" s="49"/>
      <c r="BC22" s="50"/>
      <c r="BD22" s="48"/>
      <c r="BE22" s="49"/>
      <c r="BF22" s="50"/>
      <c r="BG22" s="48"/>
      <c r="BH22" s="49"/>
      <c r="BI22" s="50"/>
      <c r="BJ22" s="48"/>
      <c r="BK22" s="51"/>
      <c r="BL22" s="47"/>
      <c r="BM22" s="48"/>
      <c r="BN22" s="49"/>
      <c r="BO22" s="50"/>
      <c r="BP22" s="48"/>
      <c r="BQ22" s="49"/>
      <c r="BR22" s="50"/>
      <c r="BS22" s="48"/>
      <c r="BT22" s="49"/>
      <c r="BU22" s="50"/>
      <c r="BV22" s="48"/>
      <c r="BW22" s="51"/>
      <c r="BX22" s="47"/>
      <c r="BY22" s="48"/>
      <c r="BZ22" s="49"/>
      <c r="CA22" s="50"/>
      <c r="CB22" s="48"/>
      <c r="CC22" s="49"/>
      <c r="CD22" s="50"/>
      <c r="CE22" s="48"/>
      <c r="CF22" s="49"/>
      <c r="CG22" s="50"/>
      <c r="CH22" s="48"/>
      <c r="CI22" s="51"/>
      <c r="CJ22" s="47"/>
      <c r="CK22" s="48"/>
      <c r="CL22" s="49"/>
      <c r="CM22" s="50"/>
      <c r="CN22" s="48"/>
      <c r="CO22" s="49"/>
      <c r="CP22" s="50"/>
      <c r="CQ22" s="48"/>
      <c r="CR22" s="49"/>
      <c r="CS22" s="50"/>
      <c r="CT22" s="48"/>
      <c r="CU22" s="51"/>
      <c r="CV22" s="47"/>
      <c r="CW22" s="48"/>
      <c r="CX22" s="49"/>
      <c r="CY22" s="50"/>
      <c r="CZ22" s="48"/>
      <c r="DA22" s="49"/>
      <c r="DB22" s="50"/>
      <c r="DC22" s="48"/>
      <c r="DD22" s="49"/>
      <c r="DE22" s="50"/>
      <c r="DF22" s="48"/>
      <c r="DG22" s="51"/>
      <c r="DH22" s="47"/>
      <c r="DI22" s="48"/>
      <c r="DJ22" s="49"/>
      <c r="DK22" s="50"/>
      <c r="DL22" s="48"/>
      <c r="DM22" s="49"/>
      <c r="DN22" s="50"/>
      <c r="DO22" s="48"/>
      <c r="DP22" s="49"/>
      <c r="DQ22" s="50"/>
      <c r="DR22" s="48"/>
      <c r="DS22" s="51"/>
      <c r="DT22" s="47"/>
      <c r="DU22" s="48"/>
      <c r="DV22" s="49"/>
      <c r="DW22" s="50"/>
      <c r="DX22" s="48"/>
      <c r="DY22" s="49"/>
      <c r="DZ22" s="50"/>
      <c r="EA22" s="48"/>
      <c r="EB22" s="49"/>
      <c r="EC22" s="50"/>
      <c r="ED22" s="48"/>
      <c r="EE22" s="51"/>
      <c r="EF22" s="47"/>
      <c r="EG22" s="48"/>
      <c r="EH22" s="49"/>
      <c r="EI22" s="50"/>
      <c r="EJ22" s="48"/>
      <c r="EK22" s="49"/>
      <c r="EL22" s="50"/>
      <c r="EM22" s="48"/>
      <c r="EN22" s="49"/>
      <c r="EO22" s="50"/>
      <c r="EP22" s="48"/>
      <c r="EQ22" s="51"/>
      <c r="ER22" s="47"/>
      <c r="ES22" s="48"/>
      <c r="ET22" s="49"/>
      <c r="EU22" s="50"/>
      <c r="EV22" s="48"/>
      <c r="EW22" s="49"/>
      <c r="EX22" s="50"/>
      <c r="EY22" s="48"/>
      <c r="EZ22" s="49"/>
      <c r="FA22" s="50"/>
      <c r="FB22" s="48"/>
      <c r="FC22" s="51"/>
      <c r="FD22" s="47"/>
      <c r="FE22" s="48"/>
      <c r="FF22" s="49"/>
      <c r="FG22" s="50"/>
      <c r="FH22" s="48"/>
      <c r="FI22" s="49"/>
      <c r="FJ22" s="50"/>
      <c r="FK22" s="48"/>
      <c r="FL22" s="49"/>
      <c r="FM22" s="50"/>
      <c r="FN22" s="48"/>
      <c r="FO22" s="51"/>
      <c r="FP22" s="47"/>
      <c r="FQ22" s="48"/>
      <c r="FR22" s="49"/>
      <c r="FS22" s="50"/>
      <c r="FT22" s="48"/>
      <c r="FU22" s="49"/>
      <c r="FV22" s="50"/>
      <c r="FW22" s="48"/>
      <c r="FX22" s="49"/>
      <c r="FY22" s="50"/>
      <c r="FZ22" s="48"/>
      <c r="GA22" s="51"/>
      <c r="GB22" s="28"/>
      <c r="GC22" s="29"/>
      <c r="GD22" s="30"/>
      <c r="GE22" s="31"/>
      <c r="GF22" s="29"/>
      <c r="GG22" s="30"/>
      <c r="GH22" s="31"/>
      <c r="GI22" s="29"/>
      <c r="GJ22" s="30"/>
      <c r="GK22" s="31"/>
      <c r="GL22" s="29"/>
      <c r="GM22" s="34"/>
      <c r="GN22" s="22"/>
    </row>
    <row r="23" spans="1:196" ht="20.100000000000001" customHeight="1">
      <c r="A23" s="53" t="str">
        <f>IF(LEN(B33)=0,"",B33)</f>
        <v/>
      </c>
      <c r="B23" s="199" t="s">
        <v>37</v>
      </c>
      <c r="C23" s="75">
        <v>0</v>
      </c>
      <c r="D23" s="41"/>
      <c r="E23" s="42"/>
      <c r="F23" s="43"/>
      <c r="G23" s="44"/>
      <c r="H23" s="42"/>
      <c r="I23" s="43"/>
      <c r="J23" s="44"/>
      <c r="K23" s="42"/>
      <c r="L23" s="43"/>
      <c r="M23" s="44"/>
      <c r="N23" s="42"/>
      <c r="O23" s="45"/>
      <c r="P23" s="41"/>
      <c r="Q23" s="42"/>
      <c r="R23" s="43"/>
      <c r="S23" s="44"/>
      <c r="T23" s="42"/>
      <c r="U23" s="43"/>
      <c r="V23" s="44"/>
      <c r="W23" s="42"/>
      <c r="X23" s="43"/>
      <c r="Y23" s="44"/>
      <c r="Z23" s="42"/>
      <c r="AA23" s="45"/>
      <c r="AB23" s="41"/>
      <c r="AC23" s="42"/>
      <c r="AD23" s="43"/>
      <c r="AE23" s="44"/>
      <c r="AF23" s="42"/>
      <c r="AG23" s="43"/>
      <c r="AH23" s="44"/>
      <c r="AI23" s="42"/>
      <c r="AJ23" s="43"/>
      <c r="AK23" s="44"/>
      <c r="AL23" s="42"/>
      <c r="AM23" s="45"/>
      <c r="AN23" s="41"/>
      <c r="AO23" s="42"/>
      <c r="AP23" s="43"/>
      <c r="AQ23" s="44"/>
      <c r="AR23" s="42"/>
      <c r="AS23" s="43"/>
      <c r="AT23" s="44"/>
      <c r="AU23" s="42"/>
      <c r="AV23" s="43"/>
      <c r="AW23" s="44"/>
      <c r="AX23" s="42"/>
      <c r="AY23" s="45"/>
      <c r="AZ23" s="41"/>
      <c r="BA23" s="42"/>
      <c r="BB23" s="43"/>
      <c r="BC23" s="44"/>
      <c r="BD23" s="42"/>
      <c r="BE23" s="43"/>
      <c r="BF23" s="44"/>
      <c r="BG23" s="42"/>
      <c r="BH23" s="43"/>
      <c r="BI23" s="44"/>
      <c r="BJ23" s="42"/>
      <c r="BK23" s="45"/>
      <c r="BL23" s="41"/>
      <c r="BM23" s="42"/>
      <c r="BN23" s="43"/>
      <c r="BO23" s="44"/>
      <c r="BP23" s="42"/>
      <c r="BQ23" s="43"/>
      <c r="BR23" s="44"/>
      <c r="BS23" s="42"/>
      <c r="BT23" s="43"/>
      <c r="BU23" s="44"/>
      <c r="BV23" s="42"/>
      <c r="BW23" s="45"/>
      <c r="BX23" s="41"/>
      <c r="BY23" s="42"/>
      <c r="BZ23" s="43"/>
      <c r="CA23" s="44"/>
      <c r="CB23" s="42"/>
      <c r="CC23" s="43"/>
      <c r="CD23" s="44"/>
      <c r="CE23" s="42"/>
      <c r="CF23" s="43"/>
      <c r="CG23" s="44"/>
      <c r="CH23" s="42"/>
      <c r="CI23" s="45"/>
      <c r="CJ23" s="41"/>
      <c r="CK23" s="42"/>
      <c r="CL23" s="43"/>
      <c r="CM23" s="44"/>
      <c r="CN23" s="42"/>
      <c r="CO23" s="43"/>
      <c r="CP23" s="44"/>
      <c r="CQ23" s="42"/>
      <c r="CR23" s="43"/>
      <c r="CS23" s="44"/>
      <c r="CT23" s="42"/>
      <c r="CU23" s="45"/>
      <c r="CV23" s="41"/>
      <c r="CW23" s="42"/>
      <c r="CX23" s="43"/>
      <c r="CY23" s="44"/>
      <c r="CZ23" s="42"/>
      <c r="DA23" s="43"/>
      <c r="DB23" s="44"/>
      <c r="DC23" s="42"/>
      <c r="DD23" s="43"/>
      <c r="DE23" s="44"/>
      <c r="DF23" s="42"/>
      <c r="DG23" s="45"/>
      <c r="DH23" s="41"/>
      <c r="DI23" s="42"/>
      <c r="DJ23" s="43"/>
      <c r="DK23" s="44"/>
      <c r="DL23" s="42"/>
      <c r="DM23" s="43"/>
      <c r="DN23" s="44"/>
      <c r="DO23" s="42"/>
      <c r="DP23" s="43"/>
      <c r="DQ23" s="44"/>
      <c r="DR23" s="42"/>
      <c r="DS23" s="45"/>
      <c r="DT23" s="41"/>
      <c r="DU23" s="42"/>
      <c r="DV23" s="43"/>
      <c r="DW23" s="44"/>
      <c r="DX23" s="42"/>
      <c r="DY23" s="43"/>
      <c r="DZ23" s="44"/>
      <c r="EA23" s="42"/>
      <c r="EB23" s="43"/>
      <c r="EC23" s="44"/>
      <c r="ED23" s="42"/>
      <c r="EE23" s="45"/>
      <c r="EF23" s="41"/>
      <c r="EG23" s="42"/>
      <c r="EH23" s="43"/>
      <c r="EI23" s="44"/>
      <c r="EJ23" s="42"/>
      <c r="EK23" s="43"/>
      <c r="EL23" s="44"/>
      <c r="EM23" s="42"/>
      <c r="EN23" s="43"/>
      <c r="EO23" s="44"/>
      <c r="EP23" s="42"/>
      <c r="EQ23" s="45"/>
      <c r="ER23" s="41"/>
      <c r="ES23" s="42"/>
      <c r="ET23" s="43"/>
      <c r="EU23" s="44"/>
      <c r="EV23" s="42"/>
      <c r="EW23" s="43"/>
      <c r="EX23" s="44"/>
      <c r="EY23" s="42"/>
      <c r="EZ23" s="43"/>
      <c r="FA23" s="44"/>
      <c r="FB23" s="42"/>
      <c r="FC23" s="45"/>
      <c r="FD23" s="41"/>
      <c r="FE23" s="42"/>
      <c r="FF23" s="43"/>
      <c r="FG23" s="44"/>
      <c r="FH23" s="42"/>
      <c r="FI23" s="43"/>
      <c r="FJ23" s="44"/>
      <c r="FK23" s="42"/>
      <c r="FL23" s="43"/>
      <c r="FM23" s="44"/>
      <c r="FN23" s="42"/>
      <c r="FO23" s="45"/>
      <c r="FP23" s="41"/>
      <c r="FQ23" s="42"/>
      <c r="FR23" s="43"/>
      <c r="FS23" s="44"/>
      <c r="FT23" s="42"/>
      <c r="FU23" s="43"/>
      <c r="FV23" s="44"/>
      <c r="FW23" s="42"/>
      <c r="FX23" s="43"/>
      <c r="FY23" s="44"/>
      <c r="FZ23" s="42"/>
      <c r="GA23" s="45"/>
      <c r="GB23" s="41"/>
      <c r="GC23" s="42"/>
      <c r="GD23" s="43"/>
      <c r="GE23" s="44"/>
      <c r="GF23" s="42"/>
      <c r="GG23" s="43"/>
      <c r="GH23" s="44"/>
      <c r="GI23" s="42"/>
      <c r="GJ23" s="43"/>
      <c r="GK23" s="44"/>
      <c r="GL23" s="42"/>
      <c r="GM23" s="46"/>
      <c r="GN23" s="22"/>
    </row>
    <row r="24" spans="1:196" ht="20.100000000000001" customHeight="1">
      <c r="A24" s="53" t="str">
        <f>IF(LEN(B35)=0,"",B35)</f>
        <v/>
      </c>
      <c r="B24" s="207"/>
      <c r="C24" s="76">
        <v>0</v>
      </c>
      <c r="D24" s="47"/>
      <c r="E24" s="48"/>
      <c r="F24" s="49"/>
      <c r="G24" s="50"/>
      <c r="H24" s="48"/>
      <c r="I24" s="49"/>
      <c r="J24" s="50"/>
      <c r="K24" s="48"/>
      <c r="L24" s="49"/>
      <c r="M24" s="50"/>
      <c r="N24" s="48"/>
      <c r="O24" s="51"/>
      <c r="P24" s="47"/>
      <c r="Q24" s="48"/>
      <c r="R24" s="49"/>
      <c r="S24" s="50"/>
      <c r="T24" s="48"/>
      <c r="U24" s="49"/>
      <c r="V24" s="50"/>
      <c r="W24" s="48"/>
      <c r="X24" s="49"/>
      <c r="Y24" s="50"/>
      <c r="Z24" s="48"/>
      <c r="AA24" s="51"/>
      <c r="AB24" s="47"/>
      <c r="AC24" s="48"/>
      <c r="AD24" s="49"/>
      <c r="AE24" s="50"/>
      <c r="AF24" s="48"/>
      <c r="AG24" s="49"/>
      <c r="AH24" s="50"/>
      <c r="AI24" s="48"/>
      <c r="AJ24" s="49"/>
      <c r="AK24" s="50"/>
      <c r="AL24" s="48"/>
      <c r="AM24" s="51"/>
      <c r="AN24" s="47"/>
      <c r="AO24" s="48"/>
      <c r="AP24" s="49"/>
      <c r="AQ24" s="50"/>
      <c r="AR24" s="48"/>
      <c r="AS24" s="49"/>
      <c r="AT24" s="50"/>
      <c r="AU24" s="48"/>
      <c r="AV24" s="49"/>
      <c r="AW24" s="50"/>
      <c r="AX24" s="48"/>
      <c r="AY24" s="51"/>
      <c r="AZ24" s="47"/>
      <c r="BA24" s="48"/>
      <c r="BB24" s="49"/>
      <c r="BC24" s="50"/>
      <c r="BD24" s="48"/>
      <c r="BE24" s="49"/>
      <c r="BF24" s="50"/>
      <c r="BG24" s="48"/>
      <c r="BH24" s="49"/>
      <c r="BI24" s="50"/>
      <c r="BJ24" s="48"/>
      <c r="BK24" s="51"/>
      <c r="BL24" s="47"/>
      <c r="BM24" s="48"/>
      <c r="BN24" s="49"/>
      <c r="BO24" s="50"/>
      <c r="BP24" s="48"/>
      <c r="BQ24" s="49"/>
      <c r="BR24" s="50"/>
      <c r="BS24" s="48"/>
      <c r="BT24" s="49"/>
      <c r="BU24" s="50"/>
      <c r="BV24" s="48"/>
      <c r="BW24" s="51"/>
      <c r="BX24" s="47"/>
      <c r="BY24" s="48"/>
      <c r="BZ24" s="49"/>
      <c r="CA24" s="50"/>
      <c r="CB24" s="48"/>
      <c r="CC24" s="49"/>
      <c r="CD24" s="50"/>
      <c r="CE24" s="48"/>
      <c r="CF24" s="49"/>
      <c r="CG24" s="50"/>
      <c r="CH24" s="48"/>
      <c r="CI24" s="51"/>
      <c r="CJ24" s="47"/>
      <c r="CK24" s="48"/>
      <c r="CL24" s="49"/>
      <c r="CM24" s="50"/>
      <c r="CN24" s="48"/>
      <c r="CO24" s="49"/>
      <c r="CP24" s="50"/>
      <c r="CQ24" s="48"/>
      <c r="CR24" s="49"/>
      <c r="CS24" s="50"/>
      <c r="CT24" s="48"/>
      <c r="CU24" s="51"/>
      <c r="CV24" s="47"/>
      <c r="CW24" s="48"/>
      <c r="CX24" s="49"/>
      <c r="CY24" s="50"/>
      <c r="CZ24" s="48"/>
      <c r="DA24" s="49"/>
      <c r="DB24" s="50"/>
      <c r="DC24" s="48"/>
      <c r="DD24" s="49"/>
      <c r="DE24" s="50"/>
      <c r="DF24" s="48"/>
      <c r="DG24" s="51"/>
      <c r="DH24" s="47"/>
      <c r="DI24" s="48"/>
      <c r="DJ24" s="49"/>
      <c r="DK24" s="50"/>
      <c r="DL24" s="48"/>
      <c r="DM24" s="49"/>
      <c r="DN24" s="50"/>
      <c r="DO24" s="48"/>
      <c r="DP24" s="49"/>
      <c r="DQ24" s="50"/>
      <c r="DR24" s="48"/>
      <c r="DS24" s="51"/>
      <c r="DT24" s="47"/>
      <c r="DU24" s="48"/>
      <c r="DV24" s="49"/>
      <c r="DW24" s="50"/>
      <c r="DX24" s="48"/>
      <c r="DY24" s="49"/>
      <c r="DZ24" s="50"/>
      <c r="EA24" s="48"/>
      <c r="EB24" s="49"/>
      <c r="EC24" s="50"/>
      <c r="ED24" s="48"/>
      <c r="EE24" s="51"/>
      <c r="EF24" s="47"/>
      <c r="EG24" s="48"/>
      <c r="EH24" s="49"/>
      <c r="EI24" s="50"/>
      <c r="EJ24" s="48"/>
      <c r="EK24" s="49"/>
      <c r="EL24" s="50"/>
      <c r="EM24" s="48"/>
      <c r="EN24" s="49"/>
      <c r="EO24" s="50"/>
      <c r="EP24" s="48"/>
      <c r="EQ24" s="51"/>
      <c r="ER24" s="47"/>
      <c r="ES24" s="48"/>
      <c r="ET24" s="49"/>
      <c r="EU24" s="50"/>
      <c r="EV24" s="48"/>
      <c r="EW24" s="49"/>
      <c r="EX24" s="50"/>
      <c r="EY24" s="48"/>
      <c r="EZ24" s="49"/>
      <c r="FA24" s="50"/>
      <c r="FB24" s="48"/>
      <c r="FC24" s="51"/>
      <c r="FD24" s="47"/>
      <c r="FE24" s="48"/>
      <c r="FF24" s="49"/>
      <c r="FG24" s="50"/>
      <c r="FH24" s="48"/>
      <c r="FI24" s="49"/>
      <c r="FJ24" s="50"/>
      <c r="FK24" s="48"/>
      <c r="FL24" s="49"/>
      <c r="FM24" s="50"/>
      <c r="FN24" s="48"/>
      <c r="FO24" s="51"/>
      <c r="FP24" s="47"/>
      <c r="FQ24" s="48"/>
      <c r="FR24" s="49"/>
      <c r="FS24" s="50"/>
      <c r="FT24" s="48"/>
      <c r="FU24" s="49"/>
      <c r="FV24" s="50"/>
      <c r="FW24" s="48"/>
      <c r="FX24" s="49"/>
      <c r="FY24" s="50"/>
      <c r="FZ24" s="48"/>
      <c r="GA24" s="51"/>
      <c r="GB24" s="47"/>
      <c r="GC24" s="48"/>
      <c r="GD24" s="49"/>
      <c r="GE24" s="50"/>
      <c r="GF24" s="48"/>
      <c r="GG24" s="49"/>
      <c r="GH24" s="50"/>
      <c r="GI24" s="48"/>
      <c r="GJ24" s="49"/>
      <c r="GK24" s="50"/>
      <c r="GL24" s="48"/>
      <c r="GM24" s="52"/>
      <c r="GN24" s="22"/>
    </row>
    <row r="25" spans="1:196" ht="20.100000000000001" customHeight="1">
      <c r="A25" s="53" t="str">
        <f>IF(LEN(B37)=0,"",B37)</f>
        <v/>
      </c>
      <c r="B25" s="199" t="s">
        <v>38</v>
      </c>
      <c r="C25" s="75">
        <v>0</v>
      </c>
      <c r="D25" s="41"/>
      <c r="E25" s="42"/>
      <c r="F25" s="43"/>
      <c r="G25" s="44"/>
      <c r="H25" s="42"/>
      <c r="I25" s="43"/>
      <c r="J25" s="44"/>
      <c r="K25" s="42"/>
      <c r="L25" s="43"/>
      <c r="M25" s="44"/>
      <c r="N25" s="42"/>
      <c r="O25" s="45"/>
      <c r="P25" s="41"/>
      <c r="Q25" s="42"/>
      <c r="R25" s="43"/>
      <c r="S25" s="44"/>
      <c r="T25" s="42"/>
      <c r="U25" s="43"/>
      <c r="V25" s="44"/>
      <c r="W25" s="42"/>
      <c r="X25" s="43"/>
      <c r="Y25" s="44"/>
      <c r="Z25" s="42"/>
      <c r="AA25" s="45"/>
      <c r="AB25" s="41"/>
      <c r="AC25" s="42"/>
      <c r="AD25" s="43"/>
      <c r="AE25" s="44"/>
      <c r="AF25" s="42"/>
      <c r="AG25" s="43"/>
      <c r="AH25" s="44"/>
      <c r="AI25" s="42"/>
      <c r="AJ25" s="43"/>
      <c r="AK25" s="44"/>
      <c r="AL25" s="42"/>
      <c r="AM25" s="45"/>
      <c r="AN25" s="41"/>
      <c r="AO25" s="42"/>
      <c r="AP25" s="43"/>
      <c r="AQ25" s="44"/>
      <c r="AR25" s="42"/>
      <c r="AS25" s="43"/>
      <c r="AT25" s="44"/>
      <c r="AU25" s="42"/>
      <c r="AV25" s="43"/>
      <c r="AW25" s="44"/>
      <c r="AX25" s="42"/>
      <c r="AY25" s="45"/>
      <c r="AZ25" s="41"/>
      <c r="BA25" s="42"/>
      <c r="BB25" s="43"/>
      <c r="BC25" s="44"/>
      <c r="BD25" s="42"/>
      <c r="BE25" s="43"/>
      <c r="BF25" s="44"/>
      <c r="BG25" s="42"/>
      <c r="BH25" s="43"/>
      <c r="BI25" s="44"/>
      <c r="BJ25" s="42"/>
      <c r="BK25" s="45"/>
      <c r="BL25" s="41"/>
      <c r="BM25" s="42"/>
      <c r="BN25" s="43"/>
      <c r="BO25" s="44"/>
      <c r="BP25" s="42"/>
      <c r="BQ25" s="43"/>
      <c r="BR25" s="44"/>
      <c r="BS25" s="42"/>
      <c r="BT25" s="43"/>
      <c r="BU25" s="44"/>
      <c r="BV25" s="42"/>
      <c r="BW25" s="45"/>
      <c r="BX25" s="41"/>
      <c r="BY25" s="42"/>
      <c r="BZ25" s="43"/>
      <c r="CA25" s="44"/>
      <c r="CB25" s="42"/>
      <c r="CC25" s="43"/>
      <c r="CD25" s="44"/>
      <c r="CE25" s="42"/>
      <c r="CF25" s="43"/>
      <c r="CG25" s="44"/>
      <c r="CH25" s="42"/>
      <c r="CI25" s="45"/>
      <c r="CJ25" s="41"/>
      <c r="CK25" s="42"/>
      <c r="CL25" s="43"/>
      <c r="CM25" s="44"/>
      <c r="CN25" s="42"/>
      <c r="CO25" s="43"/>
      <c r="CP25" s="44"/>
      <c r="CQ25" s="42"/>
      <c r="CR25" s="43"/>
      <c r="CS25" s="44"/>
      <c r="CT25" s="42"/>
      <c r="CU25" s="45"/>
      <c r="CV25" s="41"/>
      <c r="CW25" s="42"/>
      <c r="CX25" s="43"/>
      <c r="CY25" s="44"/>
      <c r="CZ25" s="42"/>
      <c r="DA25" s="43"/>
      <c r="DB25" s="44"/>
      <c r="DC25" s="42"/>
      <c r="DD25" s="43"/>
      <c r="DE25" s="44"/>
      <c r="DF25" s="42"/>
      <c r="DG25" s="45"/>
      <c r="DH25" s="41"/>
      <c r="DI25" s="42"/>
      <c r="DJ25" s="43"/>
      <c r="DK25" s="44"/>
      <c r="DL25" s="42"/>
      <c r="DM25" s="43"/>
      <c r="DN25" s="44"/>
      <c r="DO25" s="42"/>
      <c r="DP25" s="43"/>
      <c r="DQ25" s="44"/>
      <c r="DR25" s="42"/>
      <c r="DS25" s="45"/>
      <c r="DT25" s="41"/>
      <c r="DU25" s="42"/>
      <c r="DV25" s="43"/>
      <c r="DW25" s="44"/>
      <c r="DX25" s="42"/>
      <c r="DY25" s="43"/>
      <c r="DZ25" s="44"/>
      <c r="EA25" s="42"/>
      <c r="EB25" s="43"/>
      <c r="EC25" s="44"/>
      <c r="ED25" s="42"/>
      <c r="EE25" s="45"/>
      <c r="EF25" s="41"/>
      <c r="EG25" s="42"/>
      <c r="EH25" s="43"/>
      <c r="EI25" s="44"/>
      <c r="EJ25" s="42"/>
      <c r="EK25" s="43"/>
      <c r="EL25" s="44"/>
      <c r="EM25" s="42"/>
      <c r="EN25" s="43"/>
      <c r="EO25" s="44"/>
      <c r="EP25" s="42"/>
      <c r="EQ25" s="45"/>
      <c r="ER25" s="41"/>
      <c r="ES25" s="42"/>
      <c r="ET25" s="43"/>
      <c r="EU25" s="44"/>
      <c r="EV25" s="42"/>
      <c r="EW25" s="43"/>
      <c r="EX25" s="44"/>
      <c r="EY25" s="42"/>
      <c r="EZ25" s="43"/>
      <c r="FA25" s="44"/>
      <c r="FB25" s="42"/>
      <c r="FC25" s="45"/>
      <c r="FD25" s="41"/>
      <c r="FE25" s="42"/>
      <c r="FF25" s="43"/>
      <c r="FG25" s="44"/>
      <c r="FH25" s="42"/>
      <c r="FI25" s="43"/>
      <c r="FJ25" s="44"/>
      <c r="FK25" s="42"/>
      <c r="FL25" s="43"/>
      <c r="FM25" s="44"/>
      <c r="FN25" s="42"/>
      <c r="FO25" s="45"/>
      <c r="FP25" s="41"/>
      <c r="FQ25" s="42"/>
      <c r="FR25" s="43"/>
      <c r="FS25" s="44"/>
      <c r="FT25" s="42"/>
      <c r="FU25" s="43"/>
      <c r="FV25" s="44"/>
      <c r="FW25" s="42"/>
      <c r="FX25" s="43"/>
      <c r="FY25" s="44"/>
      <c r="FZ25" s="42"/>
      <c r="GA25" s="45"/>
      <c r="GB25" s="35"/>
      <c r="GC25" s="36"/>
      <c r="GD25" s="37"/>
      <c r="GE25" s="38"/>
      <c r="GF25" s="36"/>
      <c r="GG25" s="37"/>
      <c r="GH25" s="38"/>
      <c r="GI25" s="36"/>
      <c r="GJ25" s="37"/>
      <c r="GK25" s="38"/>
      <c r="GL25" s="36"/>
      <c r="GM25" s="40"/>
      <c r="GN25" s="22"/>
    </row>
    <row r="26" spans="1:196" ht="20.100000000000001" customHeight="1">
      <c r="A26" s="53" t="str">
        <f>IF(LEN(B39)=0,"",B39)</f>
        <v/>
      </c>
      <c r="B26" s="207"/>
      <c r="C26" s="76">
        <v>0</v>
      </c>
      <c r="D26" s="47"/>
      <c r="E26" s="48"/>
      <c r="F26" s="49"/>
      <c r="G26" s="50"/>
      <c r="H26" s="48"/>
      <c r="I26" s="49"/>
      <c r="J26" s="50"/>
      <c r="K26" s="48"/>
      <c r="L26" s="49"/>
      <c r="M26" s="50"/>
      <c r="N26" s="48"/>
      <c r="O26" s="51"/>
      <c r="P26" s="47"/>
      <c r="Q26" s="48"/>
      <c r="R26" s="49"/>
      <c r="S26" s="50"/>
      <c r="T26" s="48"/>
      <c r="U26" s="49"/>
      <c r="V26" s="50"/>
      <c r="W26" s="48"/>
      <c r="X26" s="49"/>
      <c r="Y26" s="50"/>
      <c r="Z26" s="48"/>
      <c r="AA26" s="51"/>
      <c r="AB26" s="47"/>
      <c r="AC26" s="48"/>
      <c r="AD26" s="49"/>
      <c r="AE26" s="50"/>
      <c r="AF26" s="48"/>
      <c r="AG26" s="49"/>
      <c r="AH26" s="50"/>
      <c r="AI26" s="48"/>
      <c r="AJ26" s="49"/>
      <c r="AK26" s="50"/>
      <c r="AL26" s="48"/>
      <c r="AM26" s="51"/>
      <c r="AN26" s="47"/>
      <c r="AO26" s="48"/>
      <c r="AP26" s="49"/>
      <c r="AQ26" s="50"/>
      <c r="AR26" s="48"/>
      <c r="AS26" s="49"/>
      <c r="AT26" s="50"/>
      <c r="AU26" s="48"/>
      <c r="AV26" s="49"/>
      <c r="AW26" s="50"/>
      <c r="AX26" s="48"/>
      <c r="AY26" s="51"/>
      <c r="AZ26" s="47"/>
      <c r="BA26" s="48"/>
      <c r="BB26" s="49"/>
      <c r="BC26" s="50"/>
      <c r="BD26" s="48"/>
      <c r="BE26" s="49"/>
      <c r="BF26" s="50"/>
      <c r="BG26" s="48"/>
      <c r="BH26" s="49"/>
      <c r="BI26" s="50"/>
      <c r="BJ26" s="48"/>
      <c r="BK26" s="51"/>
      <c r="BL26" s="47"/>
      <c r="BM26" s="48"/>
      <c r="BN26" s="49"/>
      <c r="BO26" s="50"/>
      <c r="BP26" s="48"/>
      <c r="BQ26" s="49"/>
      <c r="BR26" s="50"/>
      <c r="BS26" s="48"/>
      <c r="BT26" s="49"/>
      <c r="BU26" s="50"/>
      <c r="BV26" s="48"/>
      <c r="BW26" s="51"/>
      <c r="BX26" s="47"/>
      <c r="BY26" s="48"/>
      <c r="BZ26" s="49"/>
      <c r="CA26" s="50"/>
      <c r="CB26" s="48"/>
      <c r="CC26" s="49"/>
      <c r="CD26" s="50"/>
      <c r="CE26" s="48"/>
      <c r="CF26" s="49"/>
      <c r="CG26" s="50"/>
      <c r="CH26" s="48"/>
      <c r="CI26" s="51"/>
      <c r="CJ26" s="47"/>
      <c r="CK26" s="48"/>
      <c r="CL26" s="49"/>
      <c r="CM26" s="50"/>
      <c r="CN26" s="48"/>
      <c r="CO26" s="49"/>
      <c r="CP26" s="50"/>
      <c r="CQ26" s="48"/>
      <c r="CR26" s="49"/>
      <c r="CS26" s="50"/>
      <c r="CT26" s="48"/>
      <c r="CU26" s="51"/>
      <c r="CV26" s="47"/>
      <c r="CW26" s="48"/>
      <c r="CX26" s="49"/>
      <c r="CY26" s="50"/>
      <c r="CZ26" s="48"/>
      <c r="DA26" s="49"/>
      <c r="DB26" s="50"/>
      <c r="DC26" s="48"/>
      <c r="DD26" s="49"/>
      <c r="DE26" s="50"/>
      <c r="DF26" s="48"/>
      <c r="DG26" s="51"/>
      <c r="DH26" s="47"/>
      <c r="DI26" s="48"/>
      <c r="DJ26" s="49"/>
      <c r="DK26" s="50"/>
      <c r="DL26" s="48"/>
      <c r="DM26" s="49"/>
      <c r="DN26" s="50"/>
      <c r="DO26" s="48"/>
      <c r="DP26" s="49"/>
      <c r="DQ26" s="50"/>
      <c r="DR26" s="48"/>
      <c r="DS26" s="51"/>
      <c r="DT26" s="47"/>
      <c r="DU26" s="48"/>
      <c r="DV26" s="49"/>
      <c r="DW26" s="50"/>
      <c r="DX26" s="48"/>
      <c r="DY26" s="49"/>
      <c r="DZ26" s="50"/>
      <c r="EA26" s="48"/>
      <c r="EB26" s="49"/>
      <c r="EC26" s="50"/>
      <c r="ED26" s="48"/>
      <c r="EE26" s="51"/>
      <c r="EF26" s="47"/>
      <c r="EG26" s="48"/>
      <c r="EH26" s="49"/>
      <c r="EI26" s="50"/>
      <c r="EJ26" s="48"/>
      <c r="EK26" s="49"/>
      <c r="EL26" s="50"/>
      <c r="EM26" s="48"/>
      <c r="EN26" s="49"/>
      <c r="EO26" s="50"/>
      <c r="EP26" s="48"/>
      <c r="EQ26" s="51"/>
      <c r="ER26" s="47"/>
      <c r="ES26" s="48"/>
      <c r="ET26" s="49"/>
      <c r="EU26" s="50"/>
      <c r="EV26" s="48"/>
      <c r="EW26" s="49"/>
      <c r="EX26" s="50"/>
      <c r="EY26" s="48"/>
      <c r="EZ26" s="49"/>
      <c r="FA26" s="50"/>
      <c r="FB26" s="48"/>
      <c r="FC26" s="51"/>
      <c r="FD26" s="47"/>
      <c r="FE26" s="48"/>
      <c r="FF26" s="49"/>
      <c r="FG26" s="50"/>
      <c r="FH26" s="48"/>
      <c r="FI26" s="49"/>
      <c r="FJ26" s="50"/>
      <c r="FK26" s="48"/>
      <c r="FL26" s="49"/>
      <c r="FM26" s="50"/>
      <c r="FN26" s="48"/>
      <c r="FO26" s="51"/>
      <c r="FP26" s="47"/>
      <c r="FQ26" s="48"/>
      <c r="FR26" s="49"/>
      <c r="FS26" s="50"/>
      <c r="FT26" s="48"/>
      <c r="FU26" s="49"/>
      <c r="FV26" s="50"/>
      <c r="FW26" s="48"/>
      <c r="FX26" s="49"/>
      <c r="FY26" s="50"/>
      <c r="FZ26" s="48"/>
      <c r="GA26" s="51"/>
      <c r="GB26" s="28"/>
      <c r="GC26" s="29"/>
      <c r="GD26" s="30"/>
      <c r="GE26" s="31"/>
      <c r="GF26" s="29"/>
      <c r="GG26" s="30"/>
      <c r="GH26" s="31"/>
      <c r="GI26" s="29"/>
      <c r="GJ26" s="30"/>
      <c r="GK26" s="31"/>
      <c r="GL26" s="29"/>
      <c r="GM26" s="34"/>
      <c r="GN26" s="22"/>
    </row>
    <row r="27" spans="1:196" ht="20.100000000000001" customHeight="1">
      <c r="A27" s="53" t="str">
        <f>IF(LEN(B41)=0,"",B41)</f>
        <v/>
      </c>
      <c r="B27" s="199"/>
      <c r="C27" s="75">
        <v>0</v>
      </c>
      <c r="D27" s="41"/>
      <c r="E27" s="42"/>
      <c r="F27" s="43"/>
      <c r="G27" s="44"/>
      <c r="H27" s="42"/>
      <c r="I27" s="43"/>
      <c r="J27" s="44"/>
      <c r="K27" s="42"/>
      <c r="L27" s="43"/>
      <c r="M27" s="44"/>
      <c r="N27" s="42"/>
      <c r="O27" s="45"/>
      <c r="P27" s="41"/>
      <c r="Q27" s="42"/>
      <c r="R27" s="43"/>
      <c r="S27" s="44"/>
      <c r="T27" s="42"/>
      <c r="U27" s="43"/>
      <c r="V27" s="44"/>
      <c r="W27" s="42"/>
      <c r="X27" s="43"/>
      <c r="Y27" s="44"/>
      <c r="Z27" s="42"/>
      <c r="AA27" s="45"/>
      <c r="AB27" s="41"/>
      <c r="AC27" s="42"/>
      <c r="AD27" s="43"/>
      <c r="AE27" s="44"/>
      <c r="AF27" s="42"/>
      <c r="AG27" s="43"/>
      <c r="AH27" s="44"/>
      <c r="AI27" s="42"/>
      <c r="AJ27" s="43"/>
      <c r="AK27" s="44"/>
      <c r="AL27" s="42"/>
      <c r="AM27" s="45"/>
      <c r="AN27" s="41"/>
      <c r="AO27" s="42"/>
      <c r="AP27" s="43"/>
      <c r="AQ27" s="44"/>
      <c r="AR27" s="42"/>
      <c r="AS27" s="43"/>
      <c r="AT27" s="44"/>
      <c r="AU27" s="42"/>
      <c r="AV27" s="43"/>
      <c r="AW27" s="44"/>
      <c r="AX27" s="42"/>
      <c r="AY27" s="45"/>
      <c r="AZ27" s="41"/>
      <c r="BA27" s="42"/>
      <c r="BB27" s="43"/>
      <c r="BC27" s="44"/>
      <c r="BD27" s="42"/>
      <c r="BE27" s="43"/>
      <c r="BF27" s="44"/>
      <c r="BG27" s="42"/>
      <c r="BH27" s="43"/>
      <c r="BI27" s="44"/>
      <c r="BJ27" s="42"/>
      <c r="BK27" s="45"/>
      <c r="BL27" s="41"/>
      <c r="BM27" s="42"/>
      <c r="BN27" s="43"/>
      <c r="BO27" s="44"/>
      <c r="BP27" s="42"/>
      <c r="BQ27" s="43"/>
      <c r="BR27" s="44"/>
      <c r="BS27" s="42"/>
      <c r="BT27" s="43"/>
      <c r="BU27" s="44"/>
      <c r="BV27" s="42"/>
      <c r="BW27" s="45"/>
      <c r="BX27" s="41"/>
      <c r="BY27" s="42"/>
      <c r="BZ27" s="43"/>
      <c r="CA27" s="44"/>
      <c r="CB27" s="42"/>
      <c r="CC27" s="43"/>
      <c r="CD27" s="44"/>
      <c r="CE27" s="42"/>
      <c r="CF27" s="43"/>
      <c r="CG27" s="44"/>
      <c r="CH27" s="42"/>
      <c r="CI27" s="45"/>
      <c r="CJ27" s="41"/>
      <c r="CK27" s="42"/>
      <c r="CL27" s="43"/>
      <c r="CM27" s="44"/>
      <c r="CN27" s="42"/>
      <c r="CO27" s="43"/>
      <c r="CP27" s="44"/>
      <c r="CQ27" s="42"/>
      <c r="CR27" s="43"/>
      <c r="CS27" s="44"/>
      <c r="CT27" s="42"/>
      <c r="CU27" s="45"/>
      <c r="CV27" s="41"/>
      <c r="CW27" s="42"/>
      <c r="CX27" s="43"/>
      <c r="CY27" s="44"/>
      <c r="CZ27" s="42"/>
      <c r="DA27" s="43"/>
      <c r="DB27" s="44"/>
      <c r="DC27" s="42"/>
      <c r="DD27" s="43"/>
      <c r="DE27" s="44"/>
      <c r="DF27" s="42"/>
      <c r="DG27" s="45"/>
      <c r="DH27" s="41"/>
      <c r="DI27" s="42"/>
      <c r="DJ27" s="43"/>
      <c r="DK27" s="44"/>
      <c r="DL27" s="42"/>
      <c r="DM27" s="43"/>
      <c r="DN27" s="44"/>
      <c r="DO27" s="42"/>
      <c r="DP27" s="43"/>
      <c r="DQ27" s="44"/>
      <c r="DR27" s="42"/>
      <c r="DS27" s="45"/>
      <c r="DT27" s="41"/>
      <c r="DU27" s="42"/>
      <c r="DV27" s="43"/>
      <c r="DW27" s="44"/>
      <c r="DX27" s="42"/>
      <c r="DY27" s="43"/>
      <c r="DZ27" s="44"/>
      <c r="EA27" s="42"/>
      <c r="EB27" s="43"/>
      <c r="EC27" s="44"/>
      <c r="ED27" s="42"/>
      <c r="EE27" s="45"/>
      <c r="EF27" s="41"/>
      <c r="EG27" s="42"/>
      <c r="EH27" s="43"/>
      <c r="EI27" s="44"/>
      <c r="EJ27" s="42"/>
      <c r="EK27" s="43"/>
      <c r="EL27" s="44"/>
      <c r="EM27" s="42"/>
      <c r="EN27" s="43"/>
      <c r="EO27" s="44"/>
      <c r="EP27" s="42"/>
      <c r="EQ27" s="45"/>
      <c r="ER27" s="41"/>
      <c r="ES27" s="42"/>
      <c r="ET27" s="43"/>
      <c r="EU27" s="44"/>
      <c r="EV27" s="42"/>
      <c r="EW27" s="43"/>
      <c r="EX27" s="44"/>
      <c r="EY27" s="42"/>
      <c r="EZ27" s="43"/>
      <c r="FA27" s="44"/>
      <c r="FB27" s="42"/>
      <c r="FC27" s="45"/>
      <c r="FD27" s="41"/>
      <c r="FE27" s="42"/>
      <c r="FF27" s="43"/>
      <c r="FG27" s="44"/>
      <c r="FH27" s="42"/>
      <c r="FI27" s="43"/>
      <c r="FJ27" s="44"/>
      <c r="FK27" s="42"/>
      <c r="FL27" s="43"/>
      <c r="FM27" s="44"/>
      <c r="FN27" s="42"/>
      <c r="FO27" s="45"/>
      <c r="FP27" s="41"/>
      <c r="FQ27" s="42"/>
      <c r="FR27" s="43"/>
      <c r="FS27" s="44"/>
      <c r="FT27" s="42"/>
      <c r="FU27" s="43"/>
      <c r="FV27" s="44"/>
      <c r="FW27" s="42"/>
      <c r="FX27" s="43"/>
      <c r="FY27" s="44"/>
      <c r="FZ27" s="42"/>
      <c r="GA27" s="45"/>
      <c r="GB27" s="41"/>
      <c r="GC27" s="42"/>
      <c r="GD27" s="43"/>
      <c r="GE27" s="44"/>
      <c r="GF27" s="42"/>
      <c r="GG27" s="43"/>
      <c r="GH27" s="44"/>
      <c r="GI27" s="42"/>
      <c r="GJ27" s="43"/>
      <c r="GK27" s="44"/>
      <c r="GL27" s="42"/>
      <c r="GM27" s="46"/>
      <c r="GN27" s="22"/>
    </row>
    <row r="28" spans="1:196" ht="20.100000000000001" customHeight="1">
      <c r="A28" s="53" t="str">
        <f>IF(LEN(B43)=0,"",B43)</f>
        <v/>
      </c>
      <c r="B28" s="207"/>
      <c r="C28" s="76">
        <v>0</v>
      </c>
      <c r="D28" s="47"/>
      <c r="E28" s="48"/>
      <c r="F28" s="49"/>
      <c r="G28" s="50"/>
      <c r="H28" s="48"/>
      <c r="I28" s="49"/>
      <c r="J28" s="50"/>
      <c r="K28" s="48"/>
      <c r="L28" s="49"/>
      <c r="M28" s="50"/>
      <c r="N28" s="48"/>
      <c r="O28" s="51"/>
      <c r="P28" s="47"/>
      <c r="Q28" s="48"/>
      <c r="R28" s="49"/>
      <c r="S28" s="50"/>
      <c r="T28" s="48"/>
      <c r="U28" s="49"/>
      <c r="V28" s="50"/>
      <c r="W28" s="48"/>
      <c r="X28" s="49"/>
      <c r="Y28" s="50"/>
      <c r="Z28" s="48"/>
      <c r="AA28" s="51"/>
      <c r="AB28" s="47"/>
      <c r="AC28" s="48"/>
      <c r="AD28" s="49"/>
      <c r="AE28" s="50"/>
      <c r="AF28" s="48"/>
      <c r="AG28" s="49"/>
      <c r="AH28" s="50"/>
      <c r="AI28" s="48"/>
      <c r="AJ28" s="49"/>
      <c r="AK28" s="50"/>
      <c r="AL28" s="48"/>
      <c r="AM28" s="51"/>
      <c r="AN28" s="47"/>
      <c r="AO28" s="48"/>
      <c r="AP28" s="49"/>
      <c r="AQ28" s="50"/>
      <c r="AR28" s="48"/>
      <c r="AS28" s="49"/>
      <c r="AT28" s="50"/>
      <c r="AU28" s="48"/>
      <c r="AV28" s="49"/>
      <c r="AW28" s="50"/>
      <c r="AX28" s="48"/>
      <c r="AY28" s="51"/>
      <c r="AZ28" s="47"/>
      <c r="BA28" s="48"/>
      <c r="BB28" s="49"/>
      <c r="BC28" s="50"/>
      <c r="BD28" s="48"/>
      <c r="BE28" s="49"/>
      <c r="BF28" s="50"/>
      <c r="BG28" s="48"/>
      <c r="BH28" s="49"/>
      <c r="BI28" s="50"/>
      <c r="BJ28" s="48"/>
      <c r="BK28" s="51"/>
      <c r="BL28" s="47"/>
      <c r="BM28" s="48"/>
      <c r="BN28" s="49"/>
      <c r="BO28" s="50"/>
      <c r="BP28" s="48"/>
      <c r="BQ28" s="49"/>
      <c r="BR28" s="50"/>
      <c r="BS28" s="48"/>
      <c r="BT28" s="49"/>
      <c r="BU28" s="50"/>
      <c r="BV28" s="48"/>
      <c r="BW28" s="51"/>
      <c r="BX28" s="47"/>
      <c r="BY28" s="48"/>
      <c r="BZ28" s="49"/>
      <c r="CA28" s="50"/>
      <c r="CB28" s="48"/>
      <c r="CC28" s="49"/>
      <c r="CD28" s="50"/>
      <c r="CE28" s="48"/>
      <c r="CF28" s="49"/>
      <c r="CG28" s="50"/>
      <c r="CH28" s="48"/>
      <c r="CI28" s="51"/>
      <c r="CJ28" s="47"/>
      <c r="CK28" s="48"/>
      <c r="CL28" s="49"/>
      <c r="CM28" s="50"/>
      <c r="CN28" s="48"/>
      <c r="CO28" s="49"/>
      <c r="CP28" s="50"/>
      <c r="CQ28" s="48"/>
      <c r="CR28" s="49"/>
      <c r="CS28" s="50"/>
      <c r="CT28" s="48"/>
      <c r="CU28" s="51"/>
      <c r="CV28" s="47"/>
      <c r="CW28" s="48"/>
      <c r="CX28" s="49"/>
      <c r="CY28" s="50"/>
      <c r="CZ28" s="48"/>
      <c r="DA28" s="49"/>
      <c r="DB28" s="50"/>
      <c r="DC28" s="48"/>
      <c r="DD28" s="49"/>
      <c r="DE28" s="50"/>
      <c r="DF28" s="48"/>
      <c r="DG28" s="51"/>
      <c r="DH28" s="47"/>
      <c r="DI28" s="48"/>
      <c r="DJ28" s="49"/>
      <c r="DK28" s="50"/>
      <c r="DL28" s="48"/>
      <c r="DM28" s="49"/>
      <c r="DN28" s="50"/>
      <c r="DO28" s="48"/>
      <c r="DP28" s="49"/>
      <c r="DQ28" s="50"/>
      <c r="DR28" s="48"/>
      <c r="DS28" s="51"/>
      <c r="DT28" s="47"/>
      <c r="DU28" s="48"/>
      <c r="DV28" s="49"/>
      <c r="DW28" s="50"/>
      <c r="DX28" s="48"/>
      <c r="DY28" s="49"/>
      <c r="DZ28" s="50"/>
      <c r="EA28" s="48"/>
      <c r="EB28" s="49"/>
      <c r="EC28" s="50"/>
      <c r="ED28" s="48"/>
      <c r="EE28" s="51"/>
      <c r="EF28" s="47"/>
      <c r="EG28" s="48"/>
      <c r="EH28" s="49"/>
      <c r="EI28" s="50"/>
      <c r="EJ28" s="48"/>
      <c r="EK28" s="49"/>
      <c r="EL28" s="50"/>
      <c r="EM28" s="48"/>
      <c r="EN28" s="49"/>
      <c r="EO28" s="50"/>
      <c r="EP28" s="48"/>
      <c r="EQ28" s="51"/>
      <c r="ER28" s="47"/>
      <c r="ES28" s="48"/>
      <c r="ET28" s="49"/>
      <c r="EU28" s="50"/>
      <c r="EV28" s="48"/>
      <c r="EW28" s="49"/>
      <c r="EX28" s="50"/>
      <c r="EY28" s="48"/>
      <c r="EZ28" s="49"/>
      <c r="FA28" s="50"/>
      <c r="FB28" s="48"/>
      <c r="FC28" s="51"/>
      <c r="FD28" s="47"/>
      <c r="FE28" s="48"/>
      <c r="FF28" s="49"/>
      <c r="FG28" s="50"/>
      <c r="FH28" s="48"/>
      <c r="FI28" s="49"/>
      <c r="FJ28" s="50"/>
      <c r="FK28" s="48"/>
      <c r="FL28" s="49"/>
      <c r="FM28" s="50"/>
      <c r="FN28" s="48"/>
      <c r="FO28" s="51"/>
      <c r="FP28" s="47"/>
      <c r="FQ28" s="48"/>
      <c r="FR28" s="49"/>
      <c r="FS28" s="50"/>
      <c r="FT28" s="48"/>
      <c r="FU28" s="49"/>
      <c r="FV28" s="50"/>
      <c r="FW28" s="48"/>
      <c r="FX28" s="49"/>
      <c r="FY28" s="50"/>
      <c r="FZ28" s="48"/>
      <c r="GA28" s="51"/>
      <c r="GB28" s="47"/>
      <c r="GC28" s="48"/>
      <c r="GD28" s="49"/>
      <c r="GE28" s="50"/>
      <c r="GF28" s="48"/>
      <c r="GG28" s="49"/>
      <c r="GH28" s="50"/>
      <c r="GI28" s="48"/>
      <c r="GJ28" s="49"/>
      <c r="GK28" s="50"/>
      <c r="GL28" s="48"/>
      <c r="GM28" s="52"/>
      <c r="GN28" s="22"/>
    </row>
    <row r="29" spans="1:196" ht="20.100000000000001" customHeight="1">
      <c r="A29" s="21"/>
      <c r="B29" s="199"/>
      <c r="C29" s="75">
        <v>0</v>
      </c>
      <c r="D29" s="41"/>
      <c r="E29" s="42"/>
      <c r="F29" s="43"/>
      <c r="G29" s="44"/>
      <c r="H29" s="42"/>
      <c r="I29" s="43"/>
      <c r="J29" s="44"/>
      <c r="K29" s="42"/>
      <c r="L29" s="43"/>
      <c r="M29" s="44"/>
      <c r="N29" s="42"/>
      <c r="O29" s="45"/>
      <c r="P29" s="41"/>
      <c r="Q29" s="42"/>
      <c r="R29" s="43"/>
      <c r="S29" s="44"/>
      <c r="T29" s="42"/>
      <c r="U29" s="43"/>
      <c r="V29" s="44"/>
      <c r="W29" s="42"/>
      <c r="X29" s="43"/>
      <c r="Y29" s="44"/>
      <c r="Z29" s="42"/>
      <c r="AA29" s="45"/>
      <c r="AB29" s="41"/>
      <c r="AC29" s="42"/>
      <c r="AD29" s="43"/>
      <c r="AE29" s="44"/>
      <c r="AF29" s="42"/>
      <c r="AG29" s="43"/>
      <c r="AH29" s="44"/>
      <c r="AI29" s="42"/>
      <c r="AJ29" s="43"/>
      <c r="AK29" s="44"/>
      <c r="AL29" s="42"/>
      <c r="AM29" s="45"/>
      <c r="AN29" s="41"/>
      <c r="AO29" s="42"/>
      <c r="AP29" s="43"/>
      <c r="AQ29" s="44"/>
      <c r="AR29" s="42"/>
      <c r="AS29" s="43"/>
      <c r="AT29" s="44"/>
      <c r="AU29" s="42"/>
      <c r="AV29" s="43"/>
      <c r="AW29" s="44"/>
      <c r="AX29" s="42"/>
      <c r="AY29" s="45"/>
      <c r="AZ29" s="41"/>
      <c r="BA29" s="42"/>
      <c r="BB29" s="43"/>
      <c r="BC29" s="44"/>
      <c r="BD29" s="42"/>
      <c r="BE29" s="43"/>
      <c r="BF29" s="44"/>
      <c r="BG29" s="42"/>
      <c r="BH29" s="43"/>
      <c r="BI29" s="44"/>
      <c r="BJ29" s="42"/>
      <c r="BK29" s="45"/>
      <c r="BL29" s="41"/>
      <c r="BM29" s="42"/>
      <c r="BN29" s="43"/>
      <c r="BO29" s="44"/>
      <c r="BP29" s="42"/>
      <c r="BQ29" s="43"/>
      <c r="BR29" s="44"/>
      <c r="BS29" s="42"/>
      <c r="BT29" s="43"/>
      <c r="BU29" s="44"/>
      <c r="BV29" s="42"/>
      <c r="BW29" s="45"/>
      <c r="BX29" s="41"/>
      <c r="BY29" s="42"/>
      <c r="BZ29" s="43"/>
      <c r="CA29" s="44"/>
      <c r="CB29" s="42"/>
      <c r="CC29" s="43"/>
      <c r="CD29" s="44"/>
      <c r="CE29" s="42"/>
      <c r="CF29" s="43"/>
      <c r="CG29" s="44"/>
      <c r="CH29" s="42"/>
      <c r="CI29" s="45"/>
      <c r="CJ29" s="41"/>
      <c r="CK29" s="42"/>
      <c r="CL29" s="43"/>
      <c r="CM29" s="44"/>
      <c r="CN29" s="42"/>
      <c r="CO29" s="43"/>
      <c r="CP29" s="44"/>
      <c r="CQ29" s="42"/>
      <c r="CR29" s="43"/>
      <c r="CS29" s="44"/>
      <c r="CT29" s="42"/>
      <c r="CU29" s="45"/>
      <c r="CV29" s="41"/>
      <c r="CW29" s="42"/>
      <c r="CX29" s="43"/>
      <c r="CY29" s="44"/>
      <c r="CZ29" s="42"/>
      <c r="DA29" s="43"/>
      <c r="DB29" s="44"/>
      <c r="DC29" s="42"/>
      <c r="DD29" s="43"/>
      <c r="DE29" s="44"/>
      <c r="DF29" s="42"/>
      <c r="DG29" s="45"/>
      <c r="DH29" s="41"/>
      <c r="DI29" s="42"/>
      <c r="DJ29" s="43"/>
      <c r="DK29" s="44"/>
      <c r="DL29" s="42"/>
      <c r="DM29" s="43"/>
      <c r="DN29" s="44"/>
      <c r="DO29" s="42"/>
      <c r="DP29" s="43"/>
      <c r="DQ29" s="44"/>
      <c r="DR29" s="42"/>
      <c r="DS29" s="45"/>
      <c r="DT29" s="41"/>
      <c r="DU29" s="42"/>
      <c r="DV29" s="43"/>
      <c r="DW29" s="44"/>
      <c r="DX29" s="42"/>
      <c r="DY29" s="43"/>
      <c r="DZ29" s="44"/>
      <c r="EA29" s="42"/>
      <c r="EB29" s="43"/>
      <c r="EC29" s="44"/>
      <c r="ED29" s="42"/>
      <c r="EE29" s="45"/>
      <c r="EF29" s="41"/>
      <c r="EG29" s="42"/>
      <c r="EH29" s="43"/>
      <c r="EI29" s="44"/>
      <c r="EJ29" s="42"/>
      <c r="EK29" s="43"/>
      <c r="EL29" s="44"/>
      <c r="EM29" s="42"/>
      <c r="EN29" s="43"/>
      <c r="EO29" s="44"/>
      <c r="EP29" s="42"/>
      <c r="EQ29" s="45"/>
      <c r="ER29" s="41"/>
      <c r="ES29" s="42"/>
      <c r="ET29" s="43"/>
      <c r="EU29" s="44"/>
      <c r="EV29" s="42"/>
      <c r="EW29" s="43"/>
      <c r="EX29" s="44"/>
      <c r="EY29" s="42"/>
      <c r="EZ29" s="43"/>
      <c r="FA29" s="44"/>
      <c r="FB29" s="42"/>
      <c r="FC29" s="45"/>
      <c r="FD29" s="41"/>
      <c r="FE29" s="42"/>
      <c r="FF29" s="43"/>
      <c r="FG29" s="44"/>
      <c r="FH29" s="42"/>
      <c r="FI29" s="43"/>
      <c r="FJ29" s="44"/>
      <c r="FK29" s="42"/>
      <c r="FL29" s="43"/>
      <c r="FM29" s="44"/>
      <c r="FN29" s="42"/>
      <c r="FO29" s="45"/>
      <c r="FP29" s="41"/>
      <c r="FQ29" s="42"/>
      <c r="FR29" s="43"/>
      <c r="FS29" s="44"/>
      <c r="FT29" s="42"/>
      <c r="FU29" s="43"/>
      <c r="FV29" s="44"/>
      <c r="FW29" s="42"/>
      <c r="FX29" s="43"/>
      <c r="FY29" s="44"/>
      <c r="FZ29" s="42"/>
      <c r="GA29" s="45"/>
      <c r="GB29" s="35"/>
      <c r="GC29" s="36"/>
      <c r="GD29" s="37"/>
      <c r="GE29" s="38"/>
      <c r="GF29" s="36"/>
      <c r="GG29" s="37"/>
      <c r="GH29" s="38"/>
      <c r="GI29" s="36"/>
      <c r="GJ29" s="37"/>
      <c r="GK29" s="38"/>
      <c r="GL29" s="36"/>
      <c r="GM29" s="40"/>
      <c r="GN29" s="22"/>
    </row>
    <row r="30" spans="1:196" ht="20.100000000000001" customHeight="1">
      <c r="A30" s="21"/>
      <c r="B30" s="207"/>
      <c r="C30" s="76">
        <v>0</v>
      </c>
      <c r="D30" s="47"/>
      <c r="E30" s="48"/>
      <c r="F30" s="49"/>
      <c r="G30" s="50"/>
      <c r="H30" s="48"/>
      <c r="I30" s="49"/>
      <c r="J30" s="50"/>
      <c r="K30" s="48"/>
      <c r="L30" s="49"/>
      <c r="M30" s="50"/>
      <c r="N30" s="48"/>
      <c r="O30" s="51"/>
      <c r="P30" s="47"/>
      <c r="Q30" s="48"/>
      <c r="R30" s="49"/>
      <c r="S30" s="50"/>
      <c r="T30" s="48"/>
      <c r="U30" s="49"/>
      <c r="V30" s="50"/>
      <c r="W30" s="48"/>
      <c r="X30" s="49"/>
      <c r="Y30" s="50"/>
      <c r="Z30" s="48"/>
      <c r="AA30" s="51"/>
      <c r="AB30" s="47"/>
      <c r="AC30" s="48"/>
      <c r="AD30" s="49"/>
      <c r="AE30" s="50"/>
      <c r="AF30" s="48"/>
      <c r="AG30" s="49"/>
      <c r="AH30" s="50"/>
      <c r="AI30" s="48"/>
      <c r="AJ30" s="49"/>
      <c r="AK30" s="50"/>
      <c r="AL30" s="48"/>
      <c r="AM30" s="51"/>
      <c r="AN30" s="47"/>
      <c r="AO30" s="48"/>
      <c r="AP30" s="49"/>
      <c r="AQ30" s="50"/>
      <c r="AR30" s="48"/>
      <c r="AS30" s="49"/>
      <c r="AT30" s="50"/>
      <c r="AU30" s="48"/>
      <c r="AV30" s="49"/>
      <c r="AW30" s="50"/>
      <c r="AX30" s="48"/>
      <c r="AY30" s="51"/>
      <c r="AZ30" s="47"/>
      <c r="BA30" s="48"/>
      <c r="BB30" s="49"/>
      <c r="BC30" s="50"/>
      <c r="BD30" s="48"/>
      <c r="BE30" s="49"/>
      <c r="BF30" s="50"/>
      <c r="BG30" s="48"/>
      <c r="BH30" s="49"/>
      <c r="BI30" s="50"/>
      <c r="BJ30" s="48"/>
      <c r="BK30" s="51"/>
      <c r="BL30" s="47"/>
      <c r="BM30" s="48"/>
      <c r="BN30" s="49"/>
      <c r="BO30" s="50"/>
      <c r="BP30" s="48"/>
      <c r="BQ30" s="49"/>
      <c r="BR30" s="50"/>
      <c r="BS30" s="48"/>
      <c r="BT30" s="49"/>
      <c r="BU30" s="50"/>
      <c r="BV30" s="48"/>
      <c r="BW30" s="51"/>
      <c r="BX30" s="47"/>
      <c r="BY30" s="48"/>
      <c r="BZ30" s="49"/>
      <c r="CA30" s="50"/>
      <c r="CB30" s="48"/>
      <c r="CC30" s="49"/>
      <c r="CD30" s="50"/>
      <c r="CE30" s="48"/>
      <c r="CF30" s="49"/>
      <c r="CG30" s="50"/>
      <c r="CH30" s="48"/>
      <c r="CI30" s="51"/>
      <c r="CJ30" s="47"/>
      <c r="CK30" s="48"/>
      <c r="CL30" s="49"/>
      <c r="CM30" s="50"/>
      <c r="CN30" s="48"/>
      <c r="CO30" s="49"/>
      <c r="CP30" s="50"/>
      <c r="CQ30" s="48"/>
      <c r="CR30" s="49"/>
      <c r="CS30" s="50"/>
      <c r="CT30" s="48"/>
      <c r="CU30" s="51"/>
      <c r="CV30" s="47"/>
      <c r="CW30" s="48"/>
      <c r="CX30" s="49"/>
      <c r="CY30" s="50"/>
      <c r="CZ30" s="48"/>
      <c r="DA30" s="49"/>
      <c r="DB30" s="50"/>
      <c r="DC30" s="48"/>
      <c r="DD30" s="49"/>
      <c r="DE30" s="50"/>
      <c r="DF30" s="48"/>
      <c r="DG30" s="51"/>
      <c r="DH30" s="47"/>
      <c r="DI30" s="48"/>
      <c r="DJ30" s="49"/>
      <c r="DK30" s="50"/>
      <c r="DL30" s="48"/>
      <c r="DM30" s="49"/>
      <c r="DN30" s="50"/>
      <c r="DO30" s="48"/>
      <c r="DP30" s="49"/>
      <c r="DQ30" s="50"/>
      <c r="DR30" s="48"/>
      <c r="DS30" s="51"/>
      <c r="DT30" s="47"/>
      <c r="DU30" s="48"/>
      <c r="DV30" s="49"/>
      <c r="DW30" s="50"/>
      <c r="DX30" s="48"/>
      <c r="DY30" s="49"/>
      <c r="DZ30" s="50"/>
      <c r="EA30" s="48"/>
      <c r="EB30" s="49"/>
      <c r="EC30" s="50"/>
      <c r="ED30" s="48"/>
      <c r="EE30" s="51"/>
      <c r="EF30" s="47"/>
      <c r="EG30" s="48"/>
      <c r="EH30" s="49"/>
      <c r="EI30" s="50"/>
      <c r="EJ30" s="48"/>
      <c r="EK30" s="49"/>
      <c r="EL30" s="50"/>
      <c r="EM30" s="48"/>
      <c r="EN30" s="49"/>
      <c r="EO30" s="50"/>
      <c r="EP30" s="48"/>
      <c r="EQ30" s="51"/>
      <c r="ER30" s="47"/>
      <c r="ES30" s="48"/>
      <c r="ET30" s="49"/>
      <c r="EU30" s="50"/>
      <c r="EV30" s="48"/>
      <c r="EW30" s="49"/>
      <c r="EX30" s="50"/>
      <c r="EY30" s="48"/>
      <c r="EZ30" s="49"/>
      <c r="FA30" s="50"/>
      <c r="FB30" s="48"/>
      <c r="FC30" s="51"/>
      <c r="FD30" s="47"/>
      <c r="FE30" s="48"/>
      <c r="FF30" s="49"/>
      <c r="FG30" s="50"/>
      <c r="FH30" s="48"/>
      <c r="FI30" s="49"/>
      <c r="FJ30" s="50"/>
      <c r="FK30" s="48"/>
      <c r="FL30" s="49"/>
      <c r="FM30" s="50"/>
      <c r="FN30" s="48"/>
      <c r="FO30" s="51"/>
      <c r="FP30" s="47"/>
      <c r="FQ30" s="48"/>
      <c r="FR30" s="49"/>
      <c r="FS30" s="50"/>
      <c r="FT30" s="48"/>
      <c r="FU30" s="49"/>
      <c r="FV30" s="50"/>
      <c r="FW30" s="48"/>
      <c r="FX30" s="49"/>
      <c r="FY30" s="50"/>
      <c r="FZ30" s="48"/>
      <c r="GA30" s="51"/>
      <c r="GB30" s="28"/>
      <c r="GC30" s="29"/>
      <c r="GD30" s="30"/>
      <c r="GE30" s="31"/>
      <c r="GF30" s="29"/>
      <c r="GG30" s="30"/>
      <c r="GH30" s="31"/>
      <c r="GI30" s="29"/>
      <c r="GJ30" s="30"/>
      <c r="GK30" s="31"/>
      <c r="GL30" s="29"/>
      <c r="GM30" s="34"/>
      <c r="GN30" s="22"/>
    </row>
    <row r="31" spans="1:196" ht="20.100000000000001" customHeight="1">
      <c r="A31" s="21"/>
      <c r="B31" s="199"/>
      <c r="C31" s="75">
        <v>0</v>
      </c>
      <c r="D31" s="41"/>
      <c r="E31" s="42"/>
      <c r="F31" s="43"/>
      <c r="G31" s="44"/>
      <c r="H31" s="42"/>
      <c r="I31" s="43"/>
      <c r="J31" s="44"/>
      <c r="K31" s="42"/>
      <c r="L31" s="43"/>
      <c r="M31" s="44"/>
      <c r="N31" s="42"/>
      <c r="O31" s="45"/>
      <c r="P31" s="41"/>
      <c r="Q31" s="42"/>
      <c r="R31" s="43"/>
      <c r="S31" s="44"/>
      <c r="T31" s="42"/>
      <c r="U31" s="43"/>
      <c r="V31" s="44"/>
      <c r="W31" s="42"/>
      <c r="X31" s="43"/>
      <c r="Y31" s="44"/>
      <c r="Z31" s="42"/>
      <c r="AA31" s="45"/>
      <c r="AB31" s="41"/>
      <c r="AC31" s="42"/>
      <c r="AD31" s="43"/>
      <c r="AE31" s="44"/>
      <c r="AF31" s="42"/>
      <c r="AG31" s="43"/>
      <c r="AH31" s="44"/>
      <c r="AI31" s="42"/>
      <c r="AJ31" s="43"/>
      <c r="AK31" s="44"/>
      <c r="AL31" s="42"/>
      <c r="AM31" s="45"/>
      <c r="AN31" s="41"/>
      <c r="AO31" s="42"/>
      <c r="AP31" s="43"/>
      <c r="AQ31" s="44"/>
      <c r="AR31" s="42"/>
      <c r="AS31" s="43"/>
      <c r="AT31" s="44"/>
      <c r="AU31" s="42"/>
      <c r="AV31" s="43"/>
      <c r="AW31" s="44"/>
      <c r="AX31" s="42"/>
      <c r="AY31" s="45"/>
      <c r="AZ31" s="41"/>
      <c r="BA31" s="42"/>
      <c r="BB31" s="43"/>
      <c r="BC31" s="44"/>
      <c r="BD31" s="42"/>
      <c r="BE31" s="43"/>
      <c r="BF31" s="44"/>
      <c r="BG31" s="42"/>
      <c r="BH31" s="43"/>
      <c r="BI31" s="44"/>
      <c r="BJ31" s="42"/>
      <c r="BK31" s="45"/>
      <c r="BL31" s="41"/>
      <c r="BM31" s="42"/>
      <c r="BN31" s="43"/>
      <c r="BO31" s="44"/>
      <c r="BP31" s="42"/>
      <c r="BQ31" s="43"/>
      <c r="BR31" s="44"/>
      <c r="BS31" s="42"/>
      <c r="BT31" s="43"/>
      <c r="BU31" s="44"/>
      <c r="BV31" s="42"/>
      <c r="BW31" s="45"/>
      <c r="BX31" s="41"/>
      <c r="BY31" s="42"/>
      <c r="BZ31" s="43"/>
      <c r="CA31" s="44"/>
      <c r="CB31" s="42"/>
      <c r="CC31" s="43"/>
      <c r="CD31" s="44"/>
      <c r="CE31" s="42"/>
      <c r="CF31" s="43"/>
      <c r="CG31" s="44"/>
      <c r="CH31" s="42"/>
      <c r="CI31" s="45"/>
      <c r="CJ31" s="41"/>
      <c r="CK31" s="42"/>
      <c r="CL31" s="43"/>
      <c r="CM31" s="44"/>
      <c r="CN31" s="42"/>
      <c r="CO31" s="43"/>
      <c r="CP31" s="44"/>
      <c r="CQ31" s="42"/>
      <c r="CR31" s="43"/>
      <c r="CS31" s="44"/>
      <c r="CT31" s="42"/>
      <c r="CU31" s="45"/>
      <c r="CV31" s="41"/>
      <c r="CW31" s="42"/>
      <c r="CX31" s="43"/>
      <c r="CY31" s="44"/>
      <c r="CZ31" s="42"/>
      <c r="DA31" s="43"/>
      <c r="DB31" s="44"/>
      <c r="DC31" s="42"/>
      <c r="DD31" s="43"/>
      <c r="DE31" s="44"/>
      <c r="DF31" s="42"/>
      <c r="DG31" s="45"/>
      <c r="DH31" s="41"/>
      <c r="DI31" s="42"/>
      <c r="DJ31" s="43"/>
      <c r="DK31" s="44"/>
      <c r="DL31" s="42"/>
      <c r="DM31" s="43"/>
      <c r="DN31" s="44"/>
      <c r="DO31" s="42"/>
      <c r="DP31" s="43"/>
      <c r="DQ31" s="44"/>
      <c r="DR31" s="42"/>
      <c r="DS31" s="45"/>
      <c r="DT31" s="41"/>
      <c r="DU31" s="42"/>
      <c r="DV31" s="43"/>
      <c r="DW31" s="44"/>
      <c r="DX31" s="42"/>
      <c r="DY31" s="43"/>
      <c r="DZ31" s="44"/>
      <c r="EA31" s="42"/>
      <c r="EB31" s="43"/>
      <c r="EC31" s="44"/>
      <c r="ED31" s="42"/>
      <c r="EE31" s="45"/>
      <c r="EF31" s="41"/>
      <c r="EG31" s="42"/>
      <c r="EH31" s="43"/>
      <c r="EI31" s="44"/>
      <c r="EJ31" s="42"/>
      <c r="EK31" s="43"/>
      <c r="EL31" s="44"/>
      <c r="EM31" s="42"/>
      <c r="EN31" s="43"/>
      <c r="EO31" s="44"/>
      <c r="EP31" s="42"/>
      <c r="EQ31" s="45"/>
      <c r="ER31" s="41"/>
      <c r="ES31" s="42"/>
      <c r="ET31" s="43"/>
      <c r="EU31" s="44"/>
      <c r="EV31" s="42"/>
      <c r="EW31" s="43"/>
      <c r="EX31" s="44"/>
      <c r="EY31" s="42"/>
      <c r="EZ31" s="43"/>
      <c r="FA31" s="44"/>
      <c r="FB31" s="42"/>
      <c r="FC31" s="45"/>
      <c r="FD31" s="41"/>
      <c r="FE31" s="42"/>
      <c r="FF31" s="43"/>
      <c r="FG31" s="44"/>
      <c r="FH31" s="42"/>
      <c r="FI31" s="43"/>
      <c r="FJ31" s="44"/>
      <c r="FK31" s="42"/>
      <c r="FL31" s="43"/>
      <c r="FM31" s="44"/>
      <c r="FN31" s="42"/>
      <c r="FO31" s="45"/>
      <c r="FP31" s="41"/>
      <c r="FQ31" s="42"/>
      <c r="FR31" s="43"/>
      <c r="FS31" s="44"/>
      <c r="FT31" s="42"/>
      <c r="FU31" s="43"/>
      <c r="FV31" s="44"/>
      <c r="FW31" s="42"/>
      <c r="FX31" s="43"/>
      <c r="FY31" s="44"/>
      <c r="FZ31" s="42"/>
      <c r="GA31" s="45"/>
      <c r="GB31" s="41"/>
      <c r="GC31" s="42"/>
      <c r="GD31" s="43"/>
      <c r="GE31" s="44"/>
      <c r="GF31" s="42"/>
      <c r="GG31" s="43"/>
      <c r="GH31" s="44"/>
      <c r="GI31" s="42"/>
      <c r="GJ31" s="43"/>
      <c r="GK31" s="44"/>
      <c r="GL31" s="42"/>
      <c r="GM31" s="46"/>
      <c r="GN31" s="22"/>
    </row>
    <row r="32" spans="1:196" ht="20.100000000000001" customHeight="1">
      <c r="A32" s="21"/>
      <c r="B32" s="207"/>
      <c r="C32" s="76">
        <v>0</v>
      </c>
      <c r="D32" s="47"/>
      <c r="E32" s="48"/>
      <c r="F32" s="49"/>
      <c r="G32" s="50"/>
      <c r="H32" s="48"/>
      <c r="I32" s="49"/>
      <c r="J32" s="50"/>
      <c r="K32" s="48"/>
      <c r="L32" s="49"/>
      <c r="M32" s="50"/>
      <c r="N32" s="48"/>
      <c r="O32" s="51"/>
      <c r="P32" s="47"/>
      <c r="Q32" s="48"/>
      <c r="R32" s="49"/>
      <c r="S32" s="50"/>
      <c r="T32" s="48"/>
      <c r="U32" s="49"/>
      <c r="V32" s="50"/>
      <c r="W32" s="48"/>
      <c r="X32" s="49"/>
      <c r="Y32" s="50"/>
      <c r="Z32" s="48"/>
      <c r="AA32" s="51"/>
      <c r="AB32" s="47"/>
      <c r="AC32" s="48"/>
      <c r="AD32" s="49"/>
      <c r="AE32" s="50"/>
      <c r="AF32" s="48"/>
      <c r="AG32" s="49"/>
      <c r="AH32" s="50"/>
      <c r="AI32" s="48"/>
      <c r="AJ32" s="49"/>
      <c r="AK32" s="50"/>
      <c r="AL32" s="48"/>
      <c r="AM32" s="51"/>
      <c r="AN32" s="47"/>
      <c r="AO32" s="48"/>
      <c r="AP32" s="49"/>
      <c r="AQ32" s="50"/>
      <c r="AR32" s="48"/>
      <c r="AS32" s="49"/>
      <c r="AT32" s="50"/>
      <c r="AU32" s="48"/>
      <c r="AV32" s="49"/>
      <c r="AW32" s="50"/>
      <c r="AX32" s="48"/>
      <c r="AY32" s="51"/>
      <c r="AZ32" s="47"/>
      <c r="BA32" s="48"/>
      <c r="BB32" s="49"/>
      <c r="BC32" s="50"/>
      <c r="BD32" s="48"/>
      <c r="BE32" s="49"/>
      <c r="BF32" s="50"/>
      <c r="BG32" s="48"/>
      <c r="BH32" s="49"/>
      <c r="BI32" s="50"/>
      <c r="BJ32" s="48"/>
      <c r="BK32" s="51"/>
      <c r="BL32" s="47"/>
      <c r="BM32" s="48"/>
      <c r="BN32" s="49"/>
      <c r="BO32" s="50"/>
      <c r="BP32" s="48"/>
      <c r="BQ32" s="49"/>
      <c r="BR32" s="50"/>
      <c r="BS32" s="48"/>
      <c r="BT32" s="49"/>
      <c r="BU32" s="50"/>
      <c r="BV32" s="48"/>
      <c r="BW32" s="51"/>
      <c r="BX32" s="47"/>
      <c r="BY32" s="48"/>
      <c r="BZ32" s="49"/>
      <c r="CA32" s="50"/>
      <c r="CB32" s="48"/>
      <c r="CC32" s="49"/>
      <c r="CD32" s="50"/>
      <c r="CE32" s="48"/>
      <c r="CF32" s="49"/>
      <c r="CG32" s="50"/>
      <c r="CH32" s="48"/>
      <c r="CI32" s="51"/>
      <c r="CJ32" s="47"/>
      <c r="CK32" s="48"/>
      <c r="CL32" s="49"/>
      <c r="CM32" s="50"/>
      <c r="CN32" s="48"/>
      <c r="CO32" s="49"/>
      <c r="CP32" s="50"/>
      <c r="CQ32" s="48"/>
      <c r="CR32" s="49"/>
      <c r="CS32" s="50"/>
      <c r="CT32" s="48"/>
      <c r="CU32" s="51"/>
      <c r="CV32" s="47"/>
      <c r="CW32" s="48"/>
      <c r="CX32" s="49"/>
      <c r="CY32" s="50"/>
      <c r="CZ32" s="48"/>
      <c r="DA32" s="49"/>
      <c r="DB32" s="50"/>
      <c r="DC32" s="48"/>
      <c r="DD32" s="49"/>
      <c r="DE32" s="50"/>
      <c r="DF32" s="48"/>
      <c r="DG32" s="51"/>
      <c r="DH32" s="47"/>
      <c r="DI32" s="48"/>
      <c r="DJ32" s="49"/>
      <c r="DK32" s="50"/>
      <c r="DL32" s="48"/>
      <c r="DM32" s="49"/>
      <c r="DN32" s="50"/>
      <c r="DO32" s="48"/>
      <c r="DP32" s="49"/>
      <c r="DQ32" s="50"/>
      <c r="DR32" s="48"/>
      <c r="DS32" s="51"/>
      <c r="DT32" s="47"/>
      <c r="DU32" s="48"/>
      <c r="DV32" s="49"/>
      <c r="DW32" s="50"/>
      <c r="DX32" s="48"/>
      <c r="DY32" s="49"/>
      <c r="DZ32" s="50"/>
      <c r="EA32" s="48"/>
      <c r="EB32" s="49"/>
      <c r="EC32" s="50"/>
      <c r="ED32" s="48"/>
      <c r="EE32" s="51"/>
      <c r="EF32" s="47"/>
      <c r="EG32" s="48"/>
      <c r="EH32" s="49"/>
      <c r="EI32" s="50"/>
      <c r="EJ32" s="48"/>
      <c r="EK32" s="49"/>
      <c r="EL32" s="50"/>
      <c r="EM32" s="48"/>
      <c r="EN32" s="49"/>
      <c r="EO32" s="50"/>
      <c r="EP32" s="48"/>
      <c r="EQ32" s="51"/>
      <c r="ER32" s="47"/>
      <c r="ES32" s="48"/>
      <c r="ET32" s="49"/>
      <c r="EU32" s="50"/>
      <c r="EV32" s="48"/>
      <c r="EW32" s="49"/>
      <c r="EX32" s="50"/>
      <c r="EY32" s="48"/>
      <c r="EZ32" s="49"/>
      <c r="FA32" s="50"/>
      <c r="FB32" s="48"/>
      <c r="FC32" s="51"/>
      <c r="FD32" s="47"/>
      <c r="FE32" s="48"/>
      <c r="FF32" s="49"/>
      <c r="FG32" s="50"/>
      <c r="FH32" s="48"/>
      <c r="FI32" s="49"/>
      <c r="FJ32" s="50"/>
      <c r="FK32" s="48"/>
      <c r="FL32" s="49"/>
      <c r="FM32" s="50"/>
      <c r="FN32" s="48"/>
      <c r="FO32" s="51"/>
      <c r="FP32" s="47"/>
      <c r="FQ32" s="48"/>
      <c r="FR32" s="49"/>
      <c r="FS32" s="50"/>
      <c r="FT32" s="48"/>
      <c r="FU32" s="49"/>
      <c r="FV32" s="50"/>
      <c r="FW32" s="48"/>
      <c r="FX32" s="49"/>
      <c r="FY32" s="50"/>
      <c r="FZ32" s="48"/>
      <c r="GA32" s="51"/>
      <c r="GB32" s="47"/>
      <c r="GC32" s="48"/>
      <c r="GD32" s="49"/>
      <c r="GE32" s="50"/>
      <c r="GF32" s="48"/>
      <c r="GG32" s="49"/>
      <c r="GH32" s="50"/>
      <c r="GI32" s="48"/>
      <c r="GJ32" s="49"/>
      <c r="GK32" s="50"/>
      <c r="GL32" s="48"/>
      <c r="GM32" s="52"/>
      <c r="GN32" s="22"/>
    </row>
    <row r="33" spans="1:196" ht="20.100000000000001" customHeight="1">
      <c r="A33" s="21"/>
      <c r="B33" s="199"/>
      <c r="C33" s="77">
        <v>0</v>
      </c>
      <c r="D33" s="35"/>
      <c r="E33" s="36"/>
      <c r="F33" s="37"/>
      <c r="G33" s="38"/>
      <c r="H33" s="36"/>
      <c r="I33" s="37"/>
      <c r="J33" s="38"/>
      <c r="K33" s="36"/>
      <c r="L33" s="37"/>
      <c r="M33" s="38"/>
      <c r="N33" s="36"/>
      <c r="O33" s="39"/>
      <c r="P33" s="35"/>
      <c r="Q33" s="36"/>
      <c r="R33" s="37"/>
      <c r="S33" s="38"/>
      <c r="T33" s="36"/>
      <c r="U33" s="37"/>
      <c r="V33" s="38"/>
      <c r="W33" s="36"/>
      <c r="X33" s="37"/>
      <c r="Y33" s="38"/>
      <c r="Z33" s="36"/>
      <c r="AA33" s="39"/>
      <c r="AB33" s="35"/>
      <c r="AC33" s="36"/>
      <c r="AD33" s="37"/>
      <c r="AE33" s="38"/>
      <c r="AF33" s="36"/>
      <c r="AG33" s="37"/>
      <c r="AH33" s="38"/>
      <c r="AI33" s="36"/>
      <c r="AJ33" s="37"/>
      <c r="AK33" s="38"/>
      <c r="AL33" s="36"/>
      <c r="AM33" s="39"/>
      <c r="AN33" s="35"/>
      <c r="AO33" s="36"/>
      <c r="AP33" s="37"/>
      <c r="AQ33" s="38"/>
      <c r="AR33" s="36"/>
      <c r="AS33" s="37"/>
      <c r="AT33" s="38"/>
      <c r="AU33" s="36"/>
      <c r="AV33" s="37"/>
      <c r="AW33" s="38"/>
      <c r="AX33" s="36"/>
      <c r="AY33" s="39"/>
      <c r="AZ33" s="35"/>
      <c r="BA33" s="36"/>
      <c r="BB33" s="37"/>
      <c r="BC33" s="38"/>
      <c r="BD33" s="36"/>
      <c r="BE33" s="37"/>
      <c r="BF33" s="38"/>
      <c r="BG33" s="36"/>
      <c r="BH33" s="37"/>
      <c r="BI33" s="38"/>
      <c r="BJ33" s="36"/>
      <c r="BK33" s="39"/>
      <c r="BL33" s="35"/>
      <c r="BM33" s="36"/>
      <c r="BN33" s="37"/>
      <c r="BO33" s="38"/>
      <c r="BP33" s="36"/>
      <c r="BQ33" s="37"/>
      <c r="BR33" s="38"/>
      <c r="BS33" s="36"/>
      <c r="BT33" s="37"/>
      <c r="BU33" s="38"/>
      <c r="BV33" s="36"/>
      <c r="BW33" s="39"/>
      <c r="BX33" s="35"/>
      <c r="BY33" s="36"/>
      <c r="BZ33" s="37"/>
      <c r="CA33" s="38"/>
      <c r="CB33" s="36"/>
      <c r="CC33" s="37"/>
      <c r="CD33" s="38"/>
      <c r="CE33" s="36"/>
      <c r="CF33" s="37"/>
      <c r="CG33" s="38"/>
      <c r="CH33" s="36"/>
      <c r="CI33" s="39"/>
      <c r="CJ33" s="35"/>
      <c r="CK33" s="36"/>
      <c r="CL33" s="37"/>
      <c r="CM33" s="38"/>
      <c r="CN33" s="36"/>
      <c r="CO33" s="37"/>
      <c r="CP33" s="38"/>
      <c r="CQ33" s="36"/>
      <c r="CR33" s="37"/>
      <c r="CS33" s="38"/>
      <c r="CT33" s="36"/>
      <c r="CU33" s="39"/>
      <c r="CV33" s="35"/>
      <c r="CW33" s="36"/>
      <c r="CX33" s="37"/>
      <c r="CY33" s="38"/>
      <c r="CZ33" s="36"/>
      <c r="DA33" s="37"/>
      <c r="DB33" s="38"/>
      <c r="DC33" s="36"/>
      <c r="DD33" s="37"/>
      <c r="DE33" s="38"/>
      <c r="DF33" s="36"/>
      <c r="DG33" s="39"/>
      <c r="DH33" s="35"/>
      <c r="DI33" s="36"/>
      <c r="DJ33" s="37"/>
      <c r="DK33" s="38"/>
      <c r="DL33" s="36"/>
      <c r="DM33" s="37"/>
      <c r="DN33" s="38"/>
      <c r="DO33" s="36"/>
      <c r="DP33" s="37"/>
      <c r="DQ33" s="38"/>
      <c r="DR33" s="36"/>
      <c r="DS33" s="39"/>
      <c r="DT33" s="35"/>
      <c r="DU33" s="36"/>
      <c r="DV33" s="37"/>
      <c r="DW33" s="38"/>
      <c r="DX33" s="36"/>
      <c r="DY33" s="37"/>
      <c r="DZ33" s="38"/>
      <c r="EA33" s="36"/>
      <c r="EB33" s="37"/>
      <c r="EC33" s="38"/>
      <c r="ED33" s="36"/>
      <c r="EE33" s="39"/>
      <c r="EF33" s="35"/>
      <c r="EG33" s="36"/>
      <c r="EH33" s="37"/>
      <c r="EI33" s="38"/>
      <c r="EJ33" s="36"/>
      <c r="EK33" s="37"/>
      <c r="EL33" s="38"/>
      <c r="EM33" s="36"/>
      <c r="EN33" s="37"/>
      <c r="EO33" s="38"/>
      <c r="EP33" s="36"/>
      <c r="EQ33" s="39"/>
      <c r="ER33" s="35"/>
      <c r="ES33" s="36"/>
      <c r="ET33" s="37"/>
      <c r="EU33" s="38"/>
      <c r="EV33" s="36"/>
      <c r="EW33" s="37"/>
      <c r="EX33" s="38"/>
      <c r="EY33" s="36"/>
      <c r="EZ33" s="37"/>
      <c r="FA33" s="38"/>
      <c r="FB33" s="36"/>
      <c r="FC33" s="39"/>
      <c r="FD33" s="35"/>
      <c r="FE33" s="36"/>
      <c r="FF33" s="37"/>
      <c r="FG33" s="38"/>
      <c r="FH33" s="36"/>
      <c r="FI33" s="37"/>
      <c r="FJ33" s="38"/>
      <c r="FK33" s="36"/>
      <c r="FL33" s="37"/>
      <c r="FM33" s="38"/>
      <c r="FN33" s="36"/>
      <c r="FO33" s="39"/>
      <c r="FP33" s="35"/>
      <c r="FQ33" s="36"/>
      <c r="FR33" s="37"/>
      <c r="FS33" s="38"/>
      <c r="FT33" s="36"/>
      <c r="FU33" s="37"/>
      <c r="FV33" s="38"/>
      <c r="FW33" s="36"/>
      <c r="FX33" s="37"/>
      <c r="FY33" s="38"/>
      <c r="FZ33" s="36"/>
      <c r="GA33" s="39"/>
      <c r="GB33" s="35"/>
      <c r="GC33" s="36"/>
      <c r="GD33" s="37"/>
      <c r="GE33" s="38"/>
      <c r="GF33" s="36"/>
      <c r="GG33" s="37"/>
      <c r="GH33" s="38"/>
      <c r="GI33" s="36"/>
      <c r="GJ33" s="37"/>
      <c r="GK33" s="38"/>
      <c r="GL33" s="36"/>
      <c r="GM33" s="40"/>
      <c r="GN33" s="22"/>
    </row>
    <row r="34" spans="1:196" ht="20.100000000000001" customHeight="1">
      <c r="A34" s="21"/>
      <c r="B34" s="200"/>
      <c r="C34" s="74">
        <v>0</v>
      </c>
      <c r="D34" s="28"/>
      <c r="E34" s="29"/>
      <c r="F34" s="30"/>
      <c r="G34" s="31"/>
      <c r="H34" s="29"/>
      <c r="I34" s="30"/>
      <c r="J34" s="31"/>
      <c r="K34" s="29"/>
      <c r="L34" s="30"/>
      <c r="M34" s="31"/>
      <c r="N34" s="29"/>
      <c r="O34" s="32"/>
      <c r="P34" s="28"/>
      <c r="Q34" s="29"/>
      <c r="R34" s="30"/>
      <c r="S34" s="31"/>
      <c r="T34" s="29"/>
      <c r="U34" s="30"/>
      <c r="V34" s="31"/>
      <c r="W34" s="29"/>
      <c r="X34" s="30"/>
      <c r="Y34" s="31"/>
      <c r="Z34" s="29"/>
      <c r="AA34" s="32"/>
      <c r="AB34" s="28"/>
      <c r="AC34" s="29"/>
      <c r="AD34" s="30"/>
      <c r="AE34" s="31"/>
      <c r="AF34" s="29"/>
      <c r="AG34" s="30"/>
      <c r="AH34" s="31"/>
      <c r="AI34" s="29"/>
      <c r="AJ34" s="30"/>
      <c r="AK34" s="31"/>
      <c r="AL34" s="29"/>
      <c r="AM34" s="32"/>
      <c r="AN34" s="28"/>
      <c r="AO34" s="29"/>
      <c r="AP34" s="30"/>
      <c r="AQ34" s="31"/>
      <c r="AR34" s="29"/>
      <c r="AS34" s="30"/>
      <c r="AT34" s="31"/>
      <c r="AU34" s="29"/>
      <c r="AV34" s="30"/>
      <c r="AW34" s="31"/>
      <c r="AX34" s="29"/>
      <c r="AY34" s="32"/>
      <c r="AZ34" s="28"/>
      <c r="BA34" s="29"/>
      <c r="BB34" s="30"/>
      <c r="BC34" s="31"/>
      <c r="BD34" s="29"/>
      <c r="BE34" s="30"/>
      <c r="BF34" s="31"/>
      <c r="BG34" s="29"/>
      <c r="BH34" s="30"/>
      <c r="BI34" s="31"/>
      <c r="BJ34" s="29"/>
      <c r="BK34" s="32"/>
      <c r="BL34" s="28"/>
      <c r="BM34" s="29"/>
      <c r="BN34" s="30"/>
      <c r="BO34" s="31"/>
      <c r="BP34" s="29"/>
      <c r="BQ34" s="30"/>
      <c r="BR34" s="31"/>
      <c r="BS34" s="29"/>
      <c r="BT34" s="30"/>
      <c r="BU34" s="31"/>
      <c r="BV34" s="29"/>
      <c r="BW34" s="32"/>
      <c r="BX34" s="28"/>
      <c r="BY34" s="29"/>
      <c r="BZ34" s="30"/>
      <c r="CA34" s="31"/>
      <c r="CB34" s="29"/>
      <c r="CC34" s="30"/>
      <c r="CD34" s="31"/>
      <c r="CE34" s="29"/>
      <c r="CF34" s="30"/>
      <c r="CG34" s="31"/>
      <c r="CH34" s="29"/>
      <c r="CI34" s="32"/>
      <c r="CJ34" s="28"/>
      <c r="CK34" s="29"/>
      <c r="CL34" s="30"/>
      <c r="CM34" s="31"/>
      <c r="CN34" s="29"/>
      <c r="CO34" s="30"/>
      <c r="CP34" s="31"/>
      <c r="CQ34" s="29"/>
      <c r="CR34" s="30"/>
      <c r="CS34" s="31"/>
      <c r="CT34" s="29"/>
      <c r="CU34" s="32"/>
      <c r="CV34" s="28"/>
      <c r="CW34" s="29"/>
      <c r="CX34" s="30"/>
      <c r="CY34" s="31"/>
      <c r="CZ34" s="29"/>
      <c r="DA34" s="30"/>
      <c r="DB34" s="31"/>
      <c r="DC34" s="29"/>
      <c r="DD34" s="30"/>
      <c r="DE34" s="31"/>
      <c r="DF34" s="29"/>
      <c r="DG34" s="32"/>
      <c r="DH34" s="28"/>
      <c r="DI34" s="29"/>
      <c r="DJ34" s="30"/>
      <c r="DK34" s="31"/>
      <c r="DL34" s="29"/>
      <c r="DM34" s="30"/>
      <c r="DN34" s="31"/>
      <c r="DO34" s="29"/>
      <c r="DP34" s="30"/>
      <c r="DQ34" s="31"/>
      <c r="DR34" s="29"/>
      <c r="DS34" s="32"/>
      <c r="DT34" s="28"/>
      <c r="DU34" s="29"/>
      <c r="DV34" s="30"/>
      <c r="DW34" s="31"/>
      <c r="DX34" s="29"/>
      <c r="DY34" s="30"/>
      <c r="DZ34" s="31"/>
      <c r="EA34" s="29"/>
      <c r="EB34" s="30"/>
      <c r="EC34" s="31"/>
      <c r="ED34" s="29"/>
      <c r="EE34" s="32"/>
      <c r="EF34" s="28"/>
      <c r="EG34" s="29"/>
      <c r="EH34" s="30"/>
      <c r="EI34" s="31"/>
      <c r="EJ34" s="29"/>
      <c r="EK34" s="30"/>
      <c r="EL34" s="31"/>
      <c r="EM34" s="29"/>
      <c r="EN34" s="30"/>
      <c r="EO34" s="31"/>
      <c r="EP34" s="29"/>
      <c r="EQ34" s="32"/>
      <c r="ER34" s="28"/>
      <c r="ES34" s="29"/>
      <c r="ET34" s="30"/>
      <c r="EU34" s="31"/>
      <c r="EV34" s="29"/>
      <c r="EW34" s="30"/>
      <c r="EX34" s="31"/>
      <c r="EY34" s="29"/>
      <c r="EZ34" s="30"/>
      <c r="FA34" s="31"/>
      <c r="FB34" s="29"/>
      <c r="FC34" s="32"/>
      <c r="FD34" s="28"/>
      <c r="FE34" s="29"/>
      <c r="FF34" s="30"/>
      <c r="FG34" s="31"/>
      <c r="FH34" s="29"/>
      <c r="FI34" s="30"/>
      <c r="FJ34" s="31"/>
      <c r="FK34" s="29"/>
      <c r="FL34" s="30"/>
      <c r="FM34" s="31"/>
      <c r="FN34" s="29"/>
      <c r="FO34" s="32"/>
      <c r="FP34" s="28"/>
      <c r="FQ34" s="29"/>
      <c r="FR34" s="30"/>
      <c r="FS34" s="31"/>
      <c r="FT34" s="29"/>
      <c r="FU34" s="30"/>
      <c r="FV34" s="31"/>
      <c r="FW34" s="29"/>
      <c r="FX34" s="30"/>
      <c r="FY34" s="31"/>
      <c r="FZ34" s="29"/>
      <c r="GA34" s="32"/>
      <c r="GB34" s="28"/>
      <c r="GC34" s="29"/>
      <c r="GD34" s="30"/>
      <c r="GE34" s="31"/>
      <c r="GF34" s="29"/>
      <c r="GG34" s="30"/>
      <c r="GH34" s="31"/>
      <c r="GI34" s="29"/>
      <c r="GJ34" s="30"/>
      <c r="GK34" s="31"/>
      <c r="GL34" s="29"/>
      <c r="GM34" s="34"/>
      <c r="GN34" s="22"/>
    </row>
    <row r="35" spans="1:196" ht="20.100000000000001" customHeight="1">
      <c r="A35" s="21"/>
      <c r="B35" s="199"/>
      <c r="C35" s="75">
        <v>0</v>
      </c>
      <c r="D35" s="41"/>
      <c r="E35" s="42"/>
      <c r="F35" s="43"/>
      <c r="G35" s="44"/>
      <c r="H35" s="42"/>
      <c r="I35" s="43"/>
      <c r="J35" s="44"/>
      <c r="K35" s="42"/>
      <c r="L35" s="43"/>
      <c r="M35" s="44"/>
      <c r="N35" s="42"/>
      <c r="O35" s="45"/>
      <c r="P35" s="41"/>
      <c r="Q35" s="42"/>
      <c r="R35" s="43"/>
      <c r="S35" s="44"/>
      <c r="T35" s="42"/>
      <c r="U35" s="43"/>
      <c r="V35" s="44"/>
      <c r="W35" s="42"/>
      <c r="X35" s="43"/>
      <c r="Y35" s="44"/>
      <c r="Z35" s="42"/>
      <c r="AA35" s="45"/>
      <c r="AB35" s="41"/>
      <c r="AC35" s="42"/>
      <c r="AD35" s="43"/>
      <c r="AE35" s="44"/>
      <c r="AF35" s="42"/>
      <c r="AG35" s="43"/>
      <c r="AH35" s="44"/>
      <c r="AI35" s="42"/>
      <c r="AJ35" s="43"/>
      <c r="AK35" s="44"/>
      <c r="AL35" s="42"/>
      <c r="AM35" s="45"/>
      <c r="AN35" s="41"/>
      <c r="AO35" s="42"/>
      <c r="AP35" s="43"/>
      <c r="AQ35" s="44"/>
      <c r="AR35" s="42"/>
      <c r="AS35" s="43"/>
      <c r="AT35" s="44"/>
      <c r="AU35" s="42"/>
      <c r="AV35" s="43"/>
      <c r="AW35" s="44"/>
      <c r="AX35" s="42"/>
      <c r="AY35" s="45"/>
      <c r="AZ35" s="41"/>
      <c r="BA35" s="42"/>
      <c r="BB35" s="43"/>
      <c r="BC35" s="44"/>
      <c r="BD35" s="42"/>
      <c r="BE35" s="43"/>
      <c r="BF35" s="44"/>
      <c r="BG35" s="42"/>
      <c r="BH35" s="43"/>
      <c r="BI35" s="44"/>
      <c r="BJ35" s="42"/>
      <c r="BK35" s="45"/>
      <c r="BL35" s="41"/>
      <c r="BM35" s="42"/>
      <c r="BN35" s="43"/>
      <c r="BO35" s="44"/>
      <c r="BP35" s="42"/>
      <c r="BQ35" s="43"/>
      <c r="BR35" s="44"/>
      <c r="BS35" s="42"/>
      <c r="BT35" s="43"/>
      <c r="BU35" s="44"/>
      <c r="BV35" s="42"/>
      <c r="BW35" s="45"/>
      <c r="BX35" s="41"/>
      <c r="BY35" s="42"/>
      <c r="BZ35" s="43"/>
      <c r="CA35" s="44"/>
      <c r="CB35" s="42"/>
      <c r="CC35" s="43"/>
      <c r="CD35" s="44"/>
      <c r="CE35" s="42"/>
      <c r="CF35" s="43"/>
      <c r="CG35" s="44"/>
      <c r="CH35" s="42"/>
      <c r="CI35" s="45"/>
      <c r="CJ35" s="41"/>
      <c r="CK35" s="42"/>
      <c r="CL35" s="43"/>
      <c r="CM35" s="44"/>
      <c r="CN35" s="42"/>
      <c r="CO35" s="43"/>
      <c r="CP35" s="44"/>
      <c r="CQ35" s="42"/>
      <c r="CR35" s="43"/>
      <c r="CS35" s="44"/>
      <c r="CT35" s="42"/>
      <c r="CU35" s="45"/>
      <c r="CV35" s="41"/>
      <c r="CW35" s="42"/>
      <c r="CX35" s="43"/>
      <c r="CY35" s="44"/>
      <c r="CZ35" s="42"/>
      <c r="DA35" s="43"/>
      <c r="DB35" s="44"/>
      <c r="DC35" s="42"/>
      <c r="DD35" s="43"/>
      <c r="DE35" s="44"/>
      <c r="DF35" s="42"/>
      <c r="DG35" s="45"/>
      <c r="DH35" s="41"/>
      <c r="DI35" s="42"/>
      <c r="DJ35" s="43"/>
      <c r="DK35" s="44"/>
      <c r="DL35" s="42"/>
      <c r="DM35" s="43"/>
      <c r="DN35" s="44"/>
      <c r="DO35" s="42"/>
      <c r="DP35" s="43"/>
      <c r="DQ35" s="44"/>
      <c r="DR35" s="42"/>
      <c r="DS35" s="45"/>
      <c r="DT35" s="41"/>
      <c r="DU35" s="42"/>
      <c r="DV35" s="43"/>
      <c r="DW35" s="44"/>
      <c r="DX35" s="42"/>
      <c r="DY35" s="43"/>
      <c r="DZ35" s="44"/>
      <c r="EA35" s="42"/>
      <c r="EB35" s="43"/>
      <c r="EC35" s="44"/>
      <c r="ED35" s="42"/>
      <c r="EE35" s="45"/>
      <c r="EF35" s="41"/>
      <c r="EG35" s="42"/>
      <c r="EH35" s="43"/>
      <c r="EI35" s="44"/>
      <c r="EJ35" s="42"/>
      <c r="EK35" s="43"/>
      <c r="EL35" s="44"/>
      <c r="EM35" s="42"/>
      <c r="EN35" s="43"/>
      <c r="EO35" s="44"/>
      <c r="EP35" s="42"/>
      <c r="EQ35" s="45"/>
      <c r="ER35" s="41"/>
      <c r="ES35" s="42"/>
      <c r="ET35" s="43"/>
      <c r="EU35" s="44"/>
      <c r="EV35" s="42"/>
      <c r="EW35" s="43"/>
      <c r="EX35" s="44"/>
      <c r="EY35" s="42"/>
      <c r="EZ35" s="43"/>
      <c r="FA35" s="44"/>
      <c r="FB35" s="42"/>
      <c r="FC35" s="45"/>
      <c r="FD35" s="41"/>
      <c r="FE35" s="42"/>
      <c r="FF35" s="43"/>
      <c r="FG35" s="44"/>
      <c r="FH35" s="42"/>
      <c r="FI35" s="43"/>
      <c r="FJ35" s="44"/>
      <c r="FK35" s="42"/>
      <c r="FL35" s="43"/>
      <c r="FM35" s="44"/>
      <c r="FN35" s="42"/>
      <c r="FO35" s="45"/>
      <c r="FP35" s="41"/>
      <c r="FQ35" s="42"/>
      <c r="FR35" s="43"/>
      <c r="FS35" s="44"/>
      <c r="FT35" s="42"/>
      <c r="FU35" s="43"/>
      <c r="FV35" s="44"/>
      <c r="FW35" s="42"/>
      <c r="FX35" s="43"/>
      <c r="FY35" s="44"/>
      <c r="FZ35" s="42"/>
      <c r="GA35" s="45"/>
      <c r="GB35" s="41"/>
      <c r="GC35" s="42"/>
      <c r="GD35" s="43"/>
      <c r="GE35" s="44"/>
      <c r="GF35" s="42"/>
      <c r="GG35" s="43"/>
      <c r="GH35" s="44"/>
      <c r="GI35" s="42"/>
      <c r="GJ35" s="43"/>
      <c r="GK35" s="44"/>
      <c r="GL35" s="42"/>
      <c r="GM35" s="46"/>
      <c r="GN35" s="22"/>
    </row>
    <row r="36" spans="1:196" ht="20.100000000000001" customHeight="1">
      <c r="A36" s="21"/>
      <c r="B36" s="207"/>
      <c r="C36" s="76">
        <v>0</v>
      </c>
      <c r="D36" s="47"/>
      <c r="E36" s="48"/>
      <c r="F36" s="49"/>
      <c r="G36" s="50"/>
      <c r="H36" s="48"/>
      <c r="I36" s="49"/>
      <c r="J36" s="50"/>
      <c r="K36" s="48"/>
      <c r="L36" s="49"/>
      <c r="M36" s="50"/>
      <c r="N36" s="48"/>
      <c r="O36" s="51"/>
      <c r="P36" s="47"/>
      <c r="Q36" s="48"/>
      <c r="R36" s="49"/>
      <c r="S36" s="50"/>
      <c r="T36" s="48"/>
      <c r="U36" s="49"/>
      <c r="V36" s="50"/>
      <c r="W36" s="48"/>
      <c r="X36" s="49"/>
      <c r="Y36" s="50"/>
      <c r="Z36" s="48"/>
      <c r="AA36" s="51"/>
      <c r="AB36" s="47"/>
      <c r="AC36" s="48"/>
      <c r="AD36" s="49"/>
      <c r="AE36" s="50"/>
      <c r="AF36" s="48"/>
      <c r="AG36" s="49"/>
      <c r="AH36" s="50"/>
      <c r="AI36" s="48"/>
      <c r="AJ36" s="49"/>
      <c r="AK36" s="50"/>
      <c r="AL36" s="48"/>
      <c r="AM36" s="51"/>
      <c r="AN36" s="47"/>
      <c r="AO36" s="48"/>
      <c r="AP36" s="49"/>
      <c r="AQ36" s="50"/>
      <c r="AR36" s="48"/>
      <c r="AS36" s="49"/>
      <c r="AT36" s="50"/>
      <c r="AU36" s="48"/>
      <c r="AV36" s="49"/>
      <c r="AW36" s="50"/>
      <c r="AX36" s="48"/>
      <c r="AY36" s="51"/>
      <c r="AZ36" s="47"/>
      <c r="BA36" s="48"/>
      <c r="BB36" s="49"/>
      <c r="BC36" s="50"/>
      <c r="BD36" s="48"/>
      <c r="BE36" s="49"/>
      <c r="BF36" s="50"/>
      <c r="BG36" s="48"/>
      <c r="BH36" s="49"/>
      <c r="BI36" s="50"/>
      <c r="BJ36" s="48"/>
      <c r="BK36" s="51"/>
      <c r="BL36" s="47"/>
      <c r="BM36" s="48"/>
      <c r="BN36" s="49"/>
      <c r="BO36" s="50"/>
      <c r="BP36" s="48"/>
      <c r="BQ36" s="49"/>
      <c r="BR36" s="50"/>
      <c r="BS36" s="48"/>
      <c r="BT36" s="49"/>
      <c r="BU36" s="50"/>
      <c r="BV36" s="48"/>
      <c r="BW36" s="51"/>
      <c r="BX36" s="47"/>
      <c r="BY36" s="48"/>
      <c r="BZ36" s="49"/>
      <c r="CA36" s="50"/>
      <c r="CB36" s="48"/>
      <c r="CC36" s="49"/>
      <c r="CD36" s="50"/>
      <c r="CE36" s="48"/>
      <c r="CF36" s="49"/>
      <c r="CG36" s="50"/>
      <c r="CH36" s="48"/>
      <c r="CI36" s="51"/>
      <c r="CJ36" s="47"/>
      <c r="CK36" s="48"/>
      <c r="CL36" s="49"/>
      <c r="CM36" s="50"/>
      <c r="CN36" s="48"/>
      <c r="CO36" s="49"/>
      <c r="CP36" s="50"/>
      <c r="CQ36" s="48"/>
      <c r="CR36" s="49"/>
      <c r="CS36" s="50"/>
      <c r="CT36" s="48"/>
      <c r="CU36" s="51"/>
      <c r="CV36" s="47"/>
      <c r="CW36" s="48"/>
      <c r="CX36" s="49"/>
      <c r="CY36" s="50"/>
      <c r="CZ36" s="48"/>
      <c r="DA36" s="49"/>
      <c r="DB36" s="50"/>
      <c r="DC36" s="48"/>
      <c r="DD36" s="49"/>
      <c r="DE36" s="50"/>
      <c r="DF36" s="48"/>
      <c r="DG36" s="51"/>
      <c r="DH36" s="47"/>
      <c r="DI36" s="48"/>
      <c r="DJ36" s="49"/>
      <c r="DK36" s="50"/>
      <c r="DL36" s="48"/>
      <c r="DM36" s="49"/>
      <c r="DN36" s="50"/>
      <c r="DO36" s="48"/>
      <c r="DP36" s="49"/>
      <c r="DQ36" s="50"/>
      <c r="DR36" s="48"/>
      <c r="DS36" s="51"/>
      <c r="DT36" s="47"/>
      <c r="DU36" s="48"/>
      <c r="DV36" s="49"/>
      <c r="DW36" s="50"/>
      <c r="DX36" s="48"/>
      <c r="DY36" s="49"/>
      <c r="DZ36" s="50"/>
      <c r="EA36" s="48"/>
      <c r="EB36" s="49"/>
      <c r="EC36" s="50"/>
      <c r="ED36" s="48"/>
      <c r="EE36" s="51"/>
      <c r="EF36" s="47"/>
      <c r="EG36" s="48"/>
      <c r="EH36" s="49"/>
      <c r="EI36" s="50"/>
      <c r="EJ36" s="48"/>
      <c r="EK36" s="49"/>
      <c r="EL36" s="50"/>
      <c r="EM36" s="48"/>
      <c r="EN36" s="49"/>
      <c r="EO36" s="50"/>
      <c r="EP36" s="48"/>
      <c r="EQ36" s="51"/>
      <c r="ER36" s="47"/>
      <c r="ES36" s="48"/>
      <c r="ET36" s="49"/>
      <c r="EU36" s="50"/>
      <c r="EV36" s="48"/>
      <c r="EW36" s="49"/>
      <c r="EX36" s="50"/>
      <c r="EY36" s="48"/>
      <c r="EZ36" s="49"/>
      <c r="FA36" s="50"/>
      <c r="FB36" s="48"/>
      <c r="FC36" s="51"/>
      <c r="FD36" s="47"/>
      <c r="FE36" s="48"/>
      <c r="FF36" s="49"/>
      <c r="FG36" s="50"/>
      <c r="FH36" s="48"/>
      <c r="FI36" s="49"/>
      <c r="FJ36" s="50"/>
      <c r="FK36" s="48"/>
      <c r="FL36" s="49"/>
      <c r="FM36" s="50"/>
      <c r="FN36" s="48"/>
      <c r="FO36" s="51"/>
      <c r="FP36" s="47"/>
      <c r="FQ36" s="48"/>
      <c r="FR36" s="49"/>
      <c r="FS36" s="50"/>
      <c r="FT36" s="48"/>
      <c r="FU36" s="49"/>
      <c r="FV36" s="50"/>
      <c r="FW36" s="48"/>
      <c r="FX36" s="49"/>
      <c r="FY36" s="50"/>
      <c r="FZ36" s="48"/>
      <c r="GA36" s="51"/>
      <c r="GB36" s="47"/>
      <c r="GC36" s="48"/>
      <c r="GD36" s="49"/>
      <c r="GE36" s="50"/>
      <c r="GF36" s="48"/>
      <c r="GG36" s="49"/>
      <c r="GH36" s="50"/>
      <c r="GI36" s="48"/>
      <c r="GJ36" s="49"/>
      <c r="GK36" s="50"/>
      <c r="GL36" s="48"/>
      <c r="GM36" s="52"/>
      <c r="GN36" s="22"/>
    </row>
    <row r="37" spans="1:196" ht="20.100000000000001" customHeight="1">
      <c r="A37" s="21"/>
      <c r="B37" s="199"/>
      <c r="C37" s="77">
        <v>0</v>
      </c>
      <c r="D37" s="35"/>
      <c r="E37" s="36"/>
      <c r="F37" s="37"/>
      <c r="G37" s="38"/>
      <c r="H37" s="36"/>
      <c r="I37" s="37"/>
      <c r="J37" s="38"/>
      <c r="K37" s="36"/>
      <c r="L37" s="37"/>
      <c r="M37" s="38"/>
      <c r="N37" s="36"/>
      <c r="O37" s="39"/>
      <c r="P37" s="35"/>
      <c r="Q37" s="36"/>
      <c r="R37" s="37"/>
      <c r="S37" s="38"/>
      <c r="T37" s="36"/>
      <c r="U37" s="37"/>
      <c r="V37" s="38"/>
      <c r="W37" s="36"/>
      <c r="X37" s="37"/>
      <c r="Y37" s="38"/>
      <c r="Z37" s="36"/>
      <c r="AA37" s="39"/>
      <c r="AB37" s="35"/>
      <c r="AC37" s="36"/>
      <c r="AD37" s="37"/>
      <c r="AE37" s="38"/>
      <c r="AF37" s="36"/>
      <c r="AG37" s="37"/>
      <c r="AH37" s="38"/>
      <c r="AI37" s="36"/>
      <c r="AJ37" s="37"/>
      <c r="AK37" s="38"/>
      <c r="AL37" s="36"/>
      <c r="AM37" s="39"/>
      <c r="AN37" s="35"/>
      <c r="AO37" s="36"/>
      <c r="AP37" s="37"/>
      <c r="AQ37" s="38"/>
      <c r="AR37" s="36"/>
      <c r="AS37" s="37"/>
      <c r="AT37" s="38"/>
      <c r="AU37" s="36"/>
      <c r="AV37" s="37"/>
      <c r="AW37" s="38"/>
      <c r="AX37" s="36"/>
      <c r="AY37" s="39"/>
      <c r="AZ37" s="35"/>
      <c r="BA37" s="36"/>
      <c r="BB37" s="37"/>
      <c r="BC37" s="38"/>
      <c r="BD37" s="36"/>
      <c r="BE37" s="37"/>
      <c r="BF37" s="38"/>
      <c r="BG37" s="36"/>
      <c r="BH37" s="37"/>
      <c r="BI37" s="38"/>
      <c r="BJ37" s="36"/>
      <c r="BK37" s="39"/>
      <c r="BL37" s="35"/>
      <c r="BM37" s="36"/>
      <c r="BN37" s="37"/>
      <c r="BO37" s="38"/>
      <c r="BP37" s="36"/>
      <c r="BQ37" s="37"/>
      <c r="BR37" s="38"/>
      <c r="BS37" s="36"/>
      <c r="BT37" s="37"/>
      <c r="BU37" s="38"/>
      <c r="BV37" s="36"/>
      <c r="BW37" s="39"/>
      <c r="BX37" s="35"/>
      <c r="BY37" s="36"/>
      <c r="BZ37" s="37"/>
      <c r="CA37" s="38"/>
      <c r="CB37" s="36"/>
      <c r="CC37" s="37"/>
      <c r="CD37" s="38"/>
      <c r="CE37" s="36"/>
      <c r="CF37" s="37"/>
      <c r="CG37" s="38"/>
      <c r="CH37" s="36"/>
      <c r="CI37" s="39"/>
      <c r="CJ37" s="35"/>
      <c r="CK37" s="36"/>
      <c r="CL37" s="37"/>
      <c r="CM37" s="38"/>
      <c r="CN37" s="36"/>
      <c r="CO37" s="37"/>
      <c r="CP37" s="38"/>
      <c r="CQ37" s="36"/>
      <c r="CR37" s="37"/>
      <c r="CS37" s="38"/>
      <c r="CT37" s="36"/>
      <c r="CU37" s="39"/>
      <c r="CV37" s="35"/>
      <c r="CW37" s="36"/>
      <c r="CX37" s="37"/>
      <c r="CY37" s="38"/>
      <c r="CZ37" s="36"/>
      <c r="DA37" s="37"/>
      <c r="DB37" s="38"/>
      <c r="DC37" s="36"/>
      <c r="DD37" s="37"/>
      <c r="DE37" s="38"/>
      <c r="DF37" s="36"/>
      <c r="DG37" s="39"/>
      <c r="DH37" s="35"/>
      <c r="DI37" s="36"/>
      <c r="DJ37" s="37"/>
      <c r="DK37" s="38"/>
      <c r="DL37" s="36"/>
      <c r="DM37" s="37"/>
      <c r="DN37" s="38"/>
      <c r="DO37" s="36"/>
      <c r="DP37" s="37"/>
      <c r="DQ37" s="38"/>
      <c r="DR37" s="36"/>
      <c r="DS37" s="39"/>
      <c r="DT37" s="35"/>
      <c r="DU37" s="36"/>
      <c r="DV37" s="37"/>
      <c r="DW37" s="38"/>
      <c r="DX37" s="36"/>
      <c r="DY37" s="37"/>
      <c r="DZ37" s="38"/>
      <c r="EA37" s="36"/>
      <c r="EB37" s="37"/>
      <c r="EC37" s="38"/>
      <c r="ED37" s="36"/>
      <c r="EE37" s="39"/>
      <c r="EF37" s="35"/>
      <c r="EG37" s="36"/>
      <c r="EH37" s="37"/>
      <c r="EI37" s="38"/>
      <c r="EJ37" s="36"/>
      <c r="EK37" s="37"/>
      <c r="EL37" s="38"/>
      <c r="EM37" s="36"/>
      <c r="EN37" s="37"/>
      <c r="EO37" s="38"/>
      <c r="EP37" s="36"/>
      <c r="EQ37" s="39"/>
      <c r="ER37" s="35"/>
      <c r="ES37" s="36"/>
      <c r="ET37" s="37"/>
      <c r="EU37" s="38"/>
      <c r="EV37" s="36"/>
      <c r="EW37" s="37"/>
      <c r="EX37" s="38"/>
      <c r="EY37" s="36"/>
      <c r="EZ37" s="37"/>
      <c r="FA37" s="38"/>
      <c r="FB37" s="36"/>
      <c r="FC37" s="39"/>
      <c r="FD37" s="35"/>
      <c r="FE37" s="36"/>
      <c r="FF37" s="37"/>
      <c r="FG37" s="38"/>
      <c r="FH37" s="36"/>
      <c r="FI37" s="37"/>
      <c r="FJ37" s="38"/>
      <c r="FK37" s="36"/>
      <c r="FL37" s="37"/>
      <c r="FM37" s="38"/>
      <c r="FN37" s="36"/>
      <c r="FO37" s="39"/>
      <c r="FP37" s="35"/>
      <c r="FQ37" s="36"/>
      <c r="FR37" s="37"/>
      <c r="FS37" s="38"/>
      <c r="FT37" s="36"/>
      <c r="FU37" s="37"/>
      <c r="FV37" s="38"/>
      <c r="FW37" s="36"/>
      <c r="FX37" s="37"/>
      <c r="FY37" s="38"/>
      <c r="FZ37" s="36"/>
      <c r="GA37" s="39"/>
      <c r="GB37" s="35"/>
      <c r="GC37" s="36"/>
      <c r="GD37" s="37"/>
      <c r="GE37" s="38"/>
      <c r="GF37" s="36"/>
      <c r="GG37" s="37"/>
      <c r="GH37" s="38"/>
      <c r="GI37" s="36"/>
      <c r="GJ37" s="37"/>
      <c r="GK37" s="38"/>
      <c r="GL37" s="36"/>
      <c r="GM37" s="40"/>
      <c r="GN37" s="22"/>
    </row>
    <row r="38" spans="1:196" ht="20.100000000000001" customHeight="1">
      <c r="A38" s="21"/>
      <c r="B38" s="200"/>
      <c r="C38" s="74">
        <v>0</v>
      </c>
      <c r="D38" s="28"/>
      <c r="E38" s="29"/>
      <c r="F38" s="30"/>
      <c r="G38" s="31"/>
      <c r="H38" s="29"/>
      <c r="I38" s="30"/>
      <c r="J38" s="31"/>
      <c r="K38" s="29"/>
      <c r="L38" s="30"/>
      <c r="M38" s="31"/>
      <c r="N38" s="29"/>
      <c r="O38" s="32"/>
      <c r="P38" s="28"/>
      <c r="Q38" s="29"/>
      <c r="R38" s="30"/>
      <c r="S38" s="31"/>
      <c r="T38" s="29"/>
      <c r="U38" s="30"/>
      <c r="V38" s="31"/>
      <c r="W38" s="29"/>
      <c r="X38" s="30"/>
      <c r="Y38" s="31"/>
      <c r="Z38" s="29"/>
      <c r="AA38" s="32"/>
      <c r="AB38" s="28"/>
      <c r="AC38" s="29"/>
      <c r="AD38" s="30"/>
      <c r="AE38" s="31"/>
      <c r="AF38" s="29"/>
      <c r="AG38" s="30"/>
      <c r="AH38" s="31"/>
      <c r="AI38" s="29"/>
      <c r="AJ38" s="30"/>
      <c r="AK38" s="31"/>
      <c r="AL38" s="29"/>
      <c r="AM38" s="32"/>
      <c r="AN38" s="28"/>
      <c r="AO38" s="29"/>
      <c r="AP38" s="30"/>
      <c r="AQ38" s="31"/>
      <c r="AR38" s="29"/>
      <c r="AS38" s="30"/>
      <c r="AT38" s="31"/>
      <c r="AU38" s="29"/>
      <c r="AV38" s="30"/>
      <c r="AW38" s="31"/>
      <c r="AX38" s="29"/>
      <c r="AY38" s="32"/>
      <c r="AZ38" s="28"/>
      <c r="BA38" s="29"/>
      <c r="BB38" s="30"/>
      <c r="BC38" s="31"/>
      <c r="BD38" s="29"/>
      <c r="BE38" s="30"/>
      <c r="BF38" s="31"/>
      <c r="BG38" s="29"/>
      <c r="BH38" s="30"/>
      <c r="BI38" s="31"/>
      <c r="BJ38" s="29"/>
      <c r="BK38" s="32"/>
      <c r="BL38" s="28"/>
      <c r="BM38" s="29"/>
      <c r="BN38" s="30"/>
      <c r="BO38" s="31"/>
      <c r="BP38" s="29"/>
      <c r="BQ38" s="30"/>
      <c r="BR38" s="31"/>
      <c r="BS38" s="29"/>
      <c r="BT38" s="30"/>
      <c r="BU38" s="31"/>
      <c r="BV38" s="29"/>
      <c r="BW38" s="32"/>
      <c r="BX38" s="28"/>
      <c r="BY38" s="29"/>
      <c r="BZ38" s="30"/>
      <c r="CA38" s="31"/>
      <c r="CB38" s="29"/>
      <c r="CC38" s="30"/>
      <c r="CD38" s="31"/>
      <c r="CE38" s="29"/>
      <c r="CF38" s="30"/>
      <c r="CG38" s="31"/>
      <c r="CH38" s="29"/>
      <c r="CI38" s="32"/>
      <c r="CJ38" s="28"/>
      <c r="CK38" s="29"/>
      <c r="CL38" s="30"/>
      <c r="CM38" s="31"/>
      <c r="CN38" s="29"/>
      <c r="CO38" s="30"/>
      <c r="CP38" s="31"/>
      <c r="CQ38" s="29"/>
      <c r="CR38" s="30"/>
      <c r="CS38" s="31"/>
      <c r="CT38" s="29"/>
      <c r="CU38" s="32"/>
      <c r="CV38" s="28"/>
      <c r="CW38" s="29"/>
      <c r="CX38" s="30"/>
      <c r="CY38" s="31"/>
      <c r="CZ38" s="29"/>
      <c r="DA38" s="30"/>
      <c r="DB38" s="31"/>
      <c r="DC38" s="29"/>
      <c r="DD38" s="30"/>
      <c r="DE38" s="31"/>
      <c r="DF38" s="29"/>
      <c r="DG38" s="32"/>
      <c r="DH38" s="28"/>
      <c r="DI38" s="29"/>
      <c r="DJ38" s="30"/>
      <c r="DK38" s="31"/>
      <c r="DL38" s="29"/>
      <c r="DM38" s="30"/>
      <c r="DN38" s="31"/>
      <c r="DO38" s="29"/>
      <c r="DP38" s="30"/>
      <c r="DQ38" s="31"/>
      <c r="DR38" s="29"/>
      <c r="DS38" s="32"/>
      <c r="DT38" s="28"/>
      <c r="DU38" s="29"/>
      <c r="DV38" s="30"/>
      <c r="DW38" s="31"/>
      <c r="DX38" s="29"/>
      <c r="DY38" s="30"/>
      <c r="DZ38" s="31"/>
      <c r="EA38" s="29"/>
      <c r="EB38" s="30"/>
      <c r="EC38" s="31"/>
      <c r="ED38" s="29"/>
      <c r="EE38" s="32"/>
      <c r="EF38" s="28"/>
      <c r="EG38" s="29"/>
      <c r="EH38" s="30"/>
      <c r="EI38" s="31"/>
      <c r="EJ38" s="29"/>
      <c r="EK38" s="30"/>
      <c r="EL38" s="31"/>
      <c r="EM38" s="29"/>
      <c r="EN38" s="30"/>
      <c r="EO38" s="31"/>
      <c r="EP38" s="29"/>
      <c r="EQ38" s="32"/>
      <c r="ER38" s="28"/>
      <c r="ES38" s="29"/>
      <c r="ET38" s="30"/>
      <c r="EU38" s="31"/>
      <c r="EV38" s="29"/>
      <c r="EW38" s="30"/>
      <c r="EX38" s="31"/>
      <c r="EY38" s="29"/>
      <c r="EZ38" s="30"/>
      <c r="FA38" s="31"/>
      <c r="FB38" s="29"/>
      <c r="FC38" s="32"/>
      <c r="FD38" s="28"/>
      <c r="FE38" s="29"/>
      <c r="FF38" s="30"/>
      <c r="FG38" s="31"/>
      <c r="FH38" s="29"/>
      <c r="FI38" s="30"/>
      <c r="FJ38" s="31"/>
      <c r="FK38" s="29"/>
      <c r="FL38" s="30"/>
      <c r="FM38" s="31"/>
      <c r="FN38" s="29"/>
      <c r="FO38" s="32"/>
      <c r="FP38" s="28"/>
      <c r="FQ38" s="29"/>
      <c r="FR38" s="30"/>
      <c r="FS38" s="31"/>
      <c r="FT38" s="29"/>
      <c r="FU38" s="30"/>
      <c r="FV38" s="31"/>
      <c r="FW38" s="29"/>
      <c r="FX38" s="30"/>
      <c r="FY38" s="31"/>
      <c r="FZ38" s="29"/>
      <c r="GA38" s="32"/>
      <c r="GB38" s="28"/>
      <c r="GC38" s="29"/>
      <c r="GD38" s="30"/>
      <c r="GE38" s="31"/>
      <c r="GF38" s="29"/>
      <c r="GG38" s="30"/>
      <c r="GH38" s="31"/>
      <c r="GI38" s="29"/>
      <c r="GJ38" s="30"/>
      <c r="GK38" s="31"/>
      <c r="GL38" s="29"/>
      <c r="GM38" s="34"/>
      <c r="GN38" s="22"/>
    </row>
    <row r="39" spans="1:196" ht="20.100000000000001" customHeight="1">
      <c r="A39" s="21"/>
      <c r="B39" s="199"/>
      <c r="C39" s="75">
        <v>0</v>
      </c>
      <c r="D39" s="41"/>
      <c r="E39" s="42"/>
      <c r="F39" s="43"/>
      <c r="G39" s="44"/>
      <c r="H39" s="42"/>
      <c r="I39" s="43"/>
      <c r="J39" s="44"/>
      <c r="K39" s="42"/>
      <c r="L39" s="43"/>
      <c r="M39" s="44"/>
      <c r="N39" s="42"/>
      <c r="O39" s="45"/>
      <c r="P39" s="41"/>
      <c r="Q39" s="42"/>
      <c r="R39" s="43"/>
      <c r="S39" s="44"/>
      <c r="T39" s="42"/>
      <c r="U39" s="43"/>
      <c r="V39" s="44"/>
      <c r="W39" s="42"/>
      <c r="X39" s="43"/>
      <c r="Y39" s="44"/>
      <c r="Z39" s="42"/>
      <c r="AA39" s="45"/>
      <c r="AB39" s="41"/>
      <c r="AC39" s="42"/>
      <c r="AD39" s="43"/>
      <c r="AE39" s="44"/>
      <c r="AF39" s="42"/>
      <c r="AG39" s="43"/>
      <c r="AH39" s="44"/>
      <c r="AI39" s="42"/>
      <c r="AJ39" s="43"/>
      <c r="AK39" s="44"/>
      <c r="AL39" s="42"/>
      <c r="AM39" s="45"/>
      <c r="AN39" s="41"/>
      <c r="AO39" s="42"/>
      <c r="AP39" s="43"/>
      <c r="AQ39" s="44"/>
      <c r="AR39" s="42"/>
      <c r="AS39" s="43"/>
      <c r="AT39" s="44"/>
      <c r="AU39" s="42"/>
      <c r="AV39" s="43"/>
      <c r="AW39" s="44"/>
      <c r="AX39" s="42"/>
      <c r="AY39" s="45"/>
      <c r="AZ39" s="41"/>
      <c r="BA39" s="42"/>
      <c r="BB39" s="43"/>
      <c r="BC39" s="44"/>
      <c r="BD39" s="42"/>
      <c r="BE39" s="43"/>
      <c r="BF39" s="44"/>
      <c r="BG39" s="42"/>
      <c r="BH39" s="43"/>
      <c r="BI39" s="44"/>
      <c r="BJ39" s="42"/>
      <c r="BK39" s="45"/>
      <c r="BL39" s="41"/>
      <c r="BM39" s="42"/>
      <c r="BN39" s="43"/>
      <c r="BO39" s="44"/>
      <c r="BP39" s="42"/>
      <c r="BQ39" s="43"/>
      <c r="BR39" s="44"/>
      <c r="BS39" s="42"/>
      <c r="BT39" s="43"/>
      <c r="BU39" s="44"/>
      <c r="BV39" s="42"/>
      <c r="BW39" s="45"/>
      <c r="BX39" s="41"/>
      <c r="BY39" s="42"/>
      <c r="BZ39" s="43"/>
      <c r="CA39" s="44"/>
      <c r="CB39" s="42"/>
      <c r="CC39" s="43"/>
      <c r="CD39" s="44"/>
      <c r="CE39" s="42"/>
      <c r="CF39" s="43"/>
      <c r="CG39" s="44"/>
      <c r="CH39" s="42"/>
      <c r="CI39" s="45"/>
      <c r="CJ39" s="41"/>
      <c r="CK39" s="42"/>
      <c r="CL39" s="43"/>
      <c r="CM39" s="44"/>
      <c r="CN39" s="42"/>
      <c r="CO39" s="43"/>
      <c r="CP39" s="44"/>
      <c r="CQ39" s="42"/>
      <c r="CR39" s="43"/>
      <c r="CS39" s="44"/>
      <c r="CT39" s="42"/>
      <c r="CU39" s="45"/>
      <c r="CV39" s="41"/>
      <c r="CW39" s="42"/>
      <c r="CX39" s="43"/>
      <c r="CY39" s="44"/>
      <c r="CZ39" s="42"/>
      <c r="DA39" s="43"/>
      <c r="DB39" s="44"/>
      <c r="DC39" s="42"/>
      <c r="DD39" s="43"/>
      <c r="DE39" s="44"/>
      <c r="DF39" s="42"/>
      <c r="DG39" s="45"/>
      <c r="DH39" s="41"/>
      <c r="DI39" s="42"/>
      <c r="DJ39" s="43"/>
      <c r="DK39" s="44"/>
      <c r="DL39" s="42"/>
      <c r="DM39" s="43"/>
      <c r="DN39" s="44"/>
      <c r="DO39" s="42"/>
      <c r="DP39" s="43"/>
      <c r="DQ39" s="44"/>
      <c r="DR39" s="42"/>
      <c r="DS39" s="45"/>
      <c r="DT39" s="41"/>
      <c r="DU39" s="42"/>
      <c r="DV39" s="43"/>
      <c r="DW39" s="44"/>
      <c r="DX39" s="42"/>
      <c r="DY39" s="43"/>
      <c r="DZ39" s="44"/>
      <c r="EA39" s="42"/>
      <c r="EB39" s="43"/>
      <c r="EC39" s="44"/>
      <c r="ED39" s="42"/>
      <c r="EE39" s="45"/>
      <c r="EF39" s="41"/>
      <c r="EG39" s="42"/>
      <c r="EH39" s="43"/>
      <c r="EI39" s="44"/>
      <c r="EJ39" s="42"/>
      <c r="EK39" s="43"/>
      <c r="EL39" s="44"/>
      <c r="EM39" s="42"/>
      <c r="EN39" s="43"/>
      <c r="EO39" s="44"/>
      <c r="EP39" s="42"/>
      <c r="EQ39" s="45"/>
      <c r="ER39" s="41"/>
      <c r="ES39" s="42"/>
      <c r="ET39" s="43"/>
      <c r="EU39" s="44"/>
      <c r="EV39" s="42"/>
      <c r="EW39" s="43"/>
      <c r="EX39" s="44"/>
      <c r="EY39" s="42"/>
      <c r="EZ39" s="43"/>
      <c r="FA39" s="44"/>
      <c r="FB39" s="42"/>
      <c r="FC39" s="45"/>
      <c r="FD39" s="41"/>
      <c r="FE39" s="42"/>
      <c r="FF39" s="43"/>
      <c r="FG39" s="44"/>
      <c r="FH39" s="42"/>
      <c r="FI39" s="43"/>
      <c r="FJ39" s="44"/>
      <c r="FK39" s="42"/>
      <c r="FL39" s="43"/>
      <c r="FM39" s="44"/>
      <c r="FN39" s="42"/>
      <c r="FO39" s="45"/>
      <c r="FP39" s="41"/>
      <c r="FQ39" s="42"/>
      <c r="FR39" s="43"/>
      <c r="FS39" s="44"/>
      <c r="FT39" s="42"/>
      <c r="FU39" s="43"/>
      <c r="FV39" s="44"/>
      <c r="FW39" s="42"/>
      <c r="FX39" s="43"/>
      <c r="FY39" s="44"/>
      <c r="FZ39" s="42"/>
      <c r="GA39" s="45"/>
      <c r="GB39" s="41"/>
      <c r="GC39" s="42"/>
      <c r="GD39" s="43"/>
      <c r="GE39" s="44"/>
      <c r="GF39" s="42"/>
      <c r="GG39" s="43"/>
      <c r="GH39" s="44"/>
      <c r="GI39" s="42"/>
      <c r="GJ39" s="43"/>
      <c r="GK39" s="44"/>
      <c r="GL39" s="42"/>
      <c r="GM39" s="46"/>
      <c r="GN39" s="22"/>
    </row>
    <row r="40" spans="1:196" ht="20.100000000000001" customHeight="1">
      <c r="A40" s="21"/>
      <c r="B40" s="207"/>
      <c r="C40" s="76">
        <v>0</v>
      </c>
      <c r="D40" s="47"/>
      <c r="E40" s="48"/>
      <c r="F40" s="49"/>
      <c r="G40" s="50"/>
      <c r="H40" s="48"/>
      <c r="I40" s="49"/>
      <c r="J40" s="50"/>
      <c r="K40" s="48"/>
      <c r="L40" s="49"/>
      <c r="M40" s="50"/>
      <c r="N40" s="48"/>
      <c r="O40" s="51"/>
      <c r="P40" s="47"/>
      <c r="Q40" s="48"/>
      <c r="R40" s="49"/>
      <c r="S40" s="50"/>
      <c r="T40" s="48"/>
      <c r="U40" s="49"/>
      <c r="V40" s="50"/>
      <c r="W40" s="48"/>
      <c r="X40" s="49"/>
      <c r="Y40" s="50"/>
      <c r="Z40" s="48"/>
      <c r="AA40" s="51"/>
      <c r="AB40" s="47"/>
      <c r="AC40" s="48"/>
      <c r="AD40" s="49"/>
      <c r="AE40" s="50"/>
      <c r="AF40" s="48"/>
      <c r="AG40" s="49"/>
      <c r="AH40" s="50"/>
      <c r="AI40" s="48"/>
      <c r="AJ40" s="49"/>
      <c r="AK40" s="50"/>
      <c r="AL40" s="48"/>
      <c r="AM40" s="51"/>
      <c r="AN40" s="47"/>
      <c r="AO40" s="48"/>
      <c r="AP40" s="49"/>
      <c r="AQ40" s="50"/>
      <c r="AR40" s="48"/>
      <c r="AS40" s="49"/>
      <c r="AT40" s="50"/>
      <c r="AU40" s="48"/>
      <c r="AV40" s="49"/>
      <c r="AW40" s="50"/>
      <c r="AX40" s="48"/>
      <c r="AY40" s="51"/>
      <c r="AZ40" s="47"/>
      <c r="BA40" s="48"/>
      <c r="BB40" s="49"/>
      <c r="BC40" s="50"/>
      <c r="BD40" s="48"/>
      <c r="BE40" s="49"/>
      <c r="BF40" s="50"/>
      <c r="BG40" s="48"/>
      <c r="BH40" s="49"/>
      <c r="BI40" s="50"/>
      <c r="BJ40" s="48"/>
      <c r="BK40" s="51"/>
      <c r="BL40" s="47"/>
      <c r="BM40" s="48"/>
      <c r="BN40" s="49"/>
      <c r="BO40" s="50"/>
      <c r="BP40" s="48"/>
      <c r="BQ40" s="49"/>
      <c r="BR40" s="50"/>
      <c r="BS40" s="48"/>
      <c r="BT40" s="49"/>
      <c r="BU40" s="50"/>
      <c r="BV40" s="48"/>
      <c r="BW40" s="51"/>
      <c r="BX40" s="47"/>
      <c r="BY40" s="48"/>
      <c r="BZ40" s="49"/>
      <c r="CA40" s="50"/>
      <c r="CB40" s="48"/>
      <c r="CC40" s="49"/>
      <c r="CD40" s="50"/>
      <c r="CE40" s="48"/>
      <c r="CF40" s="49"/>
      <c r="CG40" s="50"/>
      <c r="CH40" s="48"/>
      <c r="CI40" s="51"/>
      <c r="CJ40" s="47"/>
      <c r="CK40" s="48"/>
      <c r="CL40" s="49"/>
      <c r="CM40" s="50"/>
      <c r="CN40" s="48"/>
      <c r="CO40" s="49"/>
      <c r="CP40" s="50"/>
      <c r="CQ40" s="48"/>
      <c r="CR40" s="49"/>
      <c r="CS40" s="50"/>
      <c r="CT40" s="48"/>
      <c r="CU40" s="51"/>
      <c r="CV40" s="47"/>
      <c r="CW40" s="48"/>
      <c r="CX40" s="49"/>
      <c r="CY40" s="50"/>
      <c r="CZ40" s="48"/>
      <c r="DA40" s="49"/>
      <c r="DB40" s="50"/>
      <c r="DC40" s="48"/>
      <c r="DD40" s="49"/>
      <c r="DE40" s="50"/>
      <c r="DF40" s="48"/>
      <c r="DG40" s="51"/>
      <c r="DH40" s="47"/>
      <c r="DI40" s="48"/>
      <c r="DJ40" s="49"/>
      <c r="DK40" s="50"/>
      <c r="DL40" s="48"/>
      <c r="DM40" s="49"/>
      <c r="DN40" s="50"/>
      <c r="DO40" s="48"/>
      <c r="DP40" s="49"/>
      <c r="DQ40" s="50"/>
      <c r="DR40" s="48"/>
      <c r="DS40" s="51"/>
      <c r="DT40" s="47"/>
      <c r="DU40" s="48"/>
      <c r="DV40" s="49"/>
      <c r="DW40" s="50"/>
      <c r="DX40" s="48"/>
      <c r="DY40" s="49"/>
      <c r="DZ40" s="50"/>
      <c r="EA40" s="48"/>
      <c r="EB40" s="49"/>
      <c r="EC40" s="50"/>
      <c r="ED40" s="48"/>
      <c r="EE40" s="51"/>
      <c r="EF40" s="47"/>
      <c r="EG40" s="48"/>
      <c r="EH40" s="49"/>
      <c r="EI40" s="50"/>
      <c r="EJ40" s="48"/>
      <c r="EK40" s="49"/>
      <c r="EL40" s="50"/>
      <c r="EM40" s="48"/>
      <c r="EN40" s="49"/>
      <c r="EO40" s="50"/>
      <c r="EP40" s="48"/>
      <c r="EQ40" s="51"/>
      <c r="ER40" s="47"/>
      <c r="ES40" s="48"/>
      <c r="ET40" s="49"/>
      <c r="EU40" s="50"/>
      <c r="EV40" s="48"/>
      <c r="EW40" s="49"/>
      <c r="EX40" s="50"/>
      <c r="EY40" s="48"/>
      <c r="EZ40" s="49"/>
      <c r="FA40" s="50"/>
      <c r="FB40" s="48"/>
      <c r="FC40" s="51"/>
      <c r="FD40" s="47"/>
      <c r="FE40" s="48"/>
      <c r="FF40" s="49"/>
      <c r="FG40" s="50"/>
      <c r="FH40" s="48"/>
      <c r="FI40" s="49"/>
      <c r="FJ40" s="50"/>
      <c r="FK40" s="48"/>
      <c r="FL40" s="49"/>
      <c r="FM40" s="50"/>
      <c r="FN40" s="48"/>
      <c r="FO40" s="51"/>
      <c r="FP40" s="47"/>
      <c r="FQ40" s="48"/>
      <c r="FR40" s="49"/>
      <c r="FS40" s="50"/>
      <c r="FT40" s="48"/>
      <c r="FU40" s="49"/>
      <c r="FV40" s="50"/>
      <c r="FW40" s="48"/>
      <c r="FX40" s="49"/>
      <c r="FY40" s="50"/>
      <c r="FZ40" s="48"/>
      <c r="GA40" s="51"/>
      <c r="GB40" s="47"/>
      <c r="GC40" s="48"/>
      <c r="GD40" s="49"/>
      <c r="GE40" s="50"/>
      <c r="GF40" s="48"/>
      <c r="GG40" s="49"/>
      <c r="GH40" s="50"/>
      <c r="GI40" s="48"/>
      <c r="GJ40" s="49"/>
      <c r="GK40" s="50"/>
      <c r="GL40" s="48"/>
      <c r="GM40" s="52"/>
      <c r="GN40" s="22"/>
    </row>
    <row r="41" spans="1:196" ht="20.100000000000001" customHeight="1">
      <c r="A41" s="21"/>
      <c r="B41" s="199"/>
      <c r="C41" s="75">
        <v>0</v>
      </c>
      <c r="D41" s="41"/>
      <c r="E41" s="42"/>
      <c r="F41" s="43"/>
      <c r="G41" s="44"/>
      <c r="H41" s="42"/>
      <c r="I41" s="43"/>
      <c r="J41" s="44"/>
      <c r="K41" s="42"/>
      <c r="L41" s="43"/>
      <c r="M41" s="44"/>
      <c r="N41" s="42"/>
      <c r="O41" s="45"/>
      <c r="P41" s="41"/>
      <c r="Q41" s="42"/>
      <c r="R41" s="43"/>
      <c r="S41" s="44"/>
      <c r="T41" s="42"/>
      <c r="U41" s="43"/>
      <c r="V41" s="44"/>
      <c r="W41" s="42"/>
      <c r="X41" s="43"/>
      <c r="Y41" s="44"/>
      <c r="Z41" s="42"/>
      <c r="AA41" s="45"/>
      <c r="AB41" s="41"/>
      <c r="AC41" s="42"/>
      <c r="AD41" s="43"/>
      <c r="AE41" s="44"/>
      <c r="AF41" s="42"/>
      <c r="AG41" s="43"/>
      <c r="AH41" s="44"/>
      <c r="AI41" s="42"/>
      <c r="AJ41" s="43"/>
      <c r="AK41" s="44"/>
      <c r="AL41" s="42"/>
      <c r="AM41" s="45"/>
      <c r="AN41" s="41"/>
      <c r="AO41" s="42"/>
      <c r="AP41" s="43"/>
      <c r="AQ41" s="44"/>
      <c r="AR41" s="42"/>
      <c r="AS41" s="43"/>
      <c r="AT41" s="44"/>
      <c r="AU41" s="42"/>
      <c r="AV41" s="43"/>
      <c r="AW41" s="44"/>
      <c r="AX41" s="42"/>
      <c r="AY41" s="45"/>
      <c r="AZ41" s="41"/>
      <c r="BA41" s="42"/>
      <c r="BB41" s="43"/>
      <c r="BC41" s="44"/>
      <c r="BD41" s="42"/>
      <c r="BE41" s="43"/>
      <c r="BF41" s="44"/>
      <c r="BG41" s="42"/>
      <c r="BH41" s="43"/>
      <c r="BI41" s="44"/>
      <c r="BJ41" s="42"/>
      <c r="BK41" s="45"/>
      <c r="BL41" s="41"/>
      <c r="BM41" s="42"/>
      <c r="BN41" s="43"/>
      <c r="BO41" s="44"/>
      <c r="BP41" s="42"/>
      <c r="BQ41" s="43"/>
      <c r="BR41" s="44"/>
      <c r="BS41" s="42"/>
      <c r="BT41" s="43"/>
      <c r="BU41" s="44"/>
      <c r="BV41" s="42"/>
      <c r="BW41" s="45"/>
      <c r="BX41" s="41"/>
      <c r="BY41" s="42"/>
      <c r="BZ41" s="43"/>
      <c r="CA41" s="44"/>
      <c r="CB41" s="42"/>
      <c r="CC41" s="43"/>
      <c r="CD41" s="44"/>
      <c r="CE41" s="42"/>
      <c r="CF41" s="43"/>
      <c r="CG41" s="44"/>
      <c r="CH41" s="42"/>
      <c r="CI41" s="45"/>
      <c r="CJ41" s="41"/>
      <c r="CK41" s="42"/>
      <c r="CL41" s="43"/>
      <c r="CM41" s="44"/>
      <c r="CN41" s="42"/>
      <c r="CO41" s="43"/>
      <c r="CP41" s="44"/>
      <c r="CQ41" s="42"/>
      <c r="CR41" s="43"/>
      <c r="CS41" s="44"/>
      <c r="CT41" s="42"/>
      <c r="CU41" s="45"/>
      <c r="CV41" s="41"/>
      <c r="CW41" s="42"/>
      <c r="CX41" s="43"/>
      <c r="CY41" s="44"/>
      <c r="CZ41" s="42"/>
      <c r="DA41" s="43"/>
      <c r="DB41" s="44"/>
      <c r="DC41" s="42"/>
      <c r="DD41" s="43"/>
      <c r="DE41" s="44"/>
      <c r="DF41" s="42"/>
      <c r="DG41" s="45"/>
      <c r="DH41" s="41"/>
      <c r="DI41" s="42"/>
      <c r="DJ41" s="43"/>
      <c r="DK41" s="44"/>
      <c r="DL41" s="42"/>
      <c r="DM41" s="43"/>
      <c r="DN41" s="44"/>
      <c r="DO41" s="42"/>
      <c r="DP41" s="43"/>
      <c r="DQ41" s="44"/>
      <c r="DR41" s="42"/>
      <c r="DS41" s="45"/>
      <c r="DT41" s="41"/>
      <c r="DU41" s="42"/>
      <c r="DV41" s="43"/>
      <c r="DW41" s="44"/>
      <c r="DX41" s="42"/>
      <c r="DY41" s="43"/>
      <c r="DZ41" s="44"/>
      <c r="EA41" s="42"/>
      <c r="EB41" s="43"/>
      <c r="EC41" s="44"/>
      <c r="ED41" s="42"/>
      <c r="EE41" s="45"/>
      <c r="EF41" s="41"/>
      <c r="EG41" s="42"/>
      <c r="EH41" s="43"/>
      <c r="EI41" s="44"/>
      <c r="EJ41" s="42"/>
      <c r="EK41" s="43"/>
      <c r="EL41" s="44"/>
      <c r="EM41" s="42"/>
      <c r="EN41" s="43"/>
      <c r="EO41" s="44"/>
      <c r="EP41" s="42"/>
      <c r="EQ41" s="45"/>
      <c r="ER41" s="41"/>
      <c r="ES41" s="42"/>
      <c r="ET41" s="43"/>
      <c r="EU41" s="44"/>
      <c r="EV41" s="42"/>
      <c r="EW41" s="43"/>
      <c r="EX41" s="44"/>
      <c r="EY41" s="42"/>
      <c r="EZ41" s="43"/>
      <c r="FA41" s="44"/>
      <c r="FB41" s="42"/>
      <c r="FC41" s="45"/>
      <c r="FD41" s="41"/>
      <c r="FE41" s="42"/>
      <c r="FF41" s="43"/>
      <c r="FG41" s="44"/>
      <c r="FH41" s="42"/>
      <c r="FI41" s="43"/>
      <c r="FJ41" s="44"/>
      <c r="FK41" s="42"/>
      <c r="FL41" s="43"/>
      <c r="FM41" s="44"/>
      <c r="FN41" s="42"/>
      <c r="FO41" s="45"/>
      <c r="FP41" s="41"/>
      <c r="FQ41" s="42"/>
      <c r="FR41" s="43"/>
      <c r="FS41" s="44"/>
      <c r="FT41" s="42"/>
      <c r="FU41" s="43"/>
      <c r="FV41" s="44"/>
      <c r="FW41" s="42"/>
      <c r="FX41" s="43"/>
      <c r="FY41" s="44"/>
      <c r="FZ41" s="42"/>
      <c r="GA41" s="45"/>
      <c r="GB41" s="41"/>
      <c r="GC41" s="42"/>
      <c r="GD41" s="43"/>
      <c r="GE41" s="44"/>
      <c r="GF41" s="42"/>
      <c r="GG41" s="43"/>
      <c r="GH41" s="44"/>
      <c r="GI41" s="42"/>
      <c r="GJ41" s="43"/>
      <c r="GK41" s="44"/>
      <c r="GL41" s="42"/>
      <c r="GM41" s="46"/>
      <c r="GN41" s="22"/>
    </row>
    <row r="42" spans="1:196" ht="20.100000000000001" customHeight="1">
      <c r="A42" s="21"/>
      <c r="B42" s="207"/>
      <c r="C42" s="76">
        <v>0</v>
      </c>
      <c r="D42" s="47"/>
      <c r="E42" s="48"/>
      <c r="F42" s="49"/>
      <c r="G42" s="50"/>
      <c r="H42" s="48"/>
      <c r="I42" s="49"/>
      <c r="J42" s="50"/>
      <c r="K42" s="48"/>
      <c r="L42" s="49"/>
      <c r="M42" s="50"/>
      <c r="N42" s="48"/>
      <c r="O42" s="51"/>
      <c r="P42" s="47"/>
      <c r="Q42" s="48"/>
      <c r="R42" s="49"/>
      <c r="S42" s="50"/>
      <c r="T42" s="48"/>
      <c r="U42" s="49"/>
      <c r="V42" s="50"/>
      <c r="W42" s="48"/>
      <c r="X42" s="49"/>
      <c r="Y42" s="50"/>
      <c r="Z42" s="48"/>
      <c r="AA42" s="51"/>
      <c r="AB42" s="47"/>
      <c r="AC42" s="48"/>
      <c r="AD42" s="49"/>
      <c r="AE42" s="50"/>
      <c r="AF42" s="48"/>
      <c r="AG42" s="49"/>
      <c r="AH42" s="50"/>
      <c r="AI42" s="48"/>
      <c r="AJ42" s="49"/>
      <c r="AK42" s="50"/>
      <c r="AL42" s="48"/>
      <c r="AM42" s="51"/>
      <c r="AN42" s="47"/>
      <c r="AO42" s="48"/>
      <c r="AP42" s="49"/>
      <c r="AQ42" s="50"/>
      <c r="AR42" s="48"/>
      <c r="AS42" s="49"/>
      <c r="AT42" s="50"/>
      <c r="AU42" s="48"/>
      <c r="AV42" s="49"/>
      <c r="AW42" s="50"/>
      <c r="AX42" s="48"/>
      <c r="AY42" s="51"/>
      <c r="AZ42" s="47"/>
      <c r="BA42" s="48"/>
      <c r="BB42" s="49"/>
      <c r="BC42" s="50"/>
      <c r="BD42" s="48"/>
      <c r="BE42" s="49"/>
      <c r="BF42" s="50"/>
      <c r="BG42" s="48"/>
      <c r="BH42" s="49"/>
      <c r="BI42" s="50"/>
      <c r="BJ42" s="48"/>
      <c r="BK42" s="51"/>
      <c r="BL42" s="47"/>
      <c r="BM42" s="48"/>
      <c r="BN42" s="49"/>
      <c r="BO42" s="50"/>
      <c r="BP42" s="48"/>
      <c r="BQ42" s="49"/>
      <c r="BR42" s="50"/>
      <c r="BS42" s="48"/>
      <c r="BT42" s="49"/>
      <c r="BU42" s="50"/>
      <c r="BV42" s="48"/>
      <c r="BW42" s="51"/>
      <c r="BX42" s="47"/>
      <c r="BY42" s="48"/>
      <c r="BZ42" s="49"/>
      <c r="CA42" s="50"/>
      <c r="CB42" s="48"/>
      <c r="CC42" s="49"/>
      <c r="CD42" s="50"/>
      <c r="CE42" s="48"/>
      <c r="CF42" s="49"/>
      <c r="CG42" s="50"/>
      <c r="CH42" s="48"/>
      <c r="CI42" s="51"/>
      <c r="CJ42" s="47"/>
      <c r="CK42" s="48"/>
      <c r="CL42" s="49"/>
      <c r="CM42" s="50"/>
      <c r="CN42" s="48"/>
      <c r="CO42" s="49"/>
      <c r="CP42" s="50"/>
      <c r="CQ42" s="48"/>
      <c r="CR42" s="49"/>
      <c r="CS42" s="50"/>
      <c r="CT42" s="48"/>
      <c r="CU42" s="51"/>
      <c r="CV42" s="47"/>
      <c r="CW42" s="48"/>
      <c r="CX42" s="49"/>
      <c r="CY42" s="50"/>
      <c r="CZ42" s="48"/>
      <c r="DA42" s="49"/>
      <c r="DB42" s="50"/>
      <c r="DC42" s="48"/>
      <c r="DD42" s="49"/>
      <c r="DE42" s="50"/>
      <c r="DF42" s="48"/>
      <c r="DG42" s="51"/>
      <c r="DH42" s="47"/>
      <c r="DI42" s="48"/>
      <c r="DJ42" s="49"/>
      <c r="DK42" s="50"/>
      <c r="DL42" s="48"/>
      <c r="DM42" s="49"/>
      <c r="DN42" s="50"/>
      <c r="DO42" s="48"/>
      <c r="DP42" s="49"/>
      <c r="DQ42" s="50"/>
      <c r="DR42" s="48"/>
      <c r="DS42" s="51"/>
      <c r="DT42" s="47"/>
      <c r="DU42" s="48"/>
      <c r="DV42" s="49"/>
      <c r="DW42" s="50"/>
      <c r="DX42" s="48"/>
      <c r="DY42" s="49"/>
      <c r="DZ42" s="50"/>
      <c r="EA42" s="48"/>
      <c r="EB42" s="49"/>
      <c r="EC42" s="50"/>
      <c r="ED42" s="48"/>
      <c r="EE42" s="51"/>
      <c r="EF42" s="47"/>
      <c r="EG42" s="48"/>
      <c r="EH42" s="49"/>
      <c r="EI42" s="50"/>
      <c r="EJ42" s="48"/>
      <c r="EK42" s="49"/>
      <c r="EL42" s="50"/>
      <c r="EM42" s="48"/>
      <c r="EN42" s="49"/>
      <c r="EO42" s="50"/>
      <c r="EP42" s="48"/>
      <c r="EQ42" s="51"/>
      <c r="ER42" s="47"/>
      <c r="ES42" s="48"/>
      <c r="ET42" s="49"/>
      <c r="EU42" s="50"/>
      <c r="EV42" s="48"/>
      <c r="EW42" s="49"/>
      <c r="EX42" s="50"/>
      <c r="EY42" s="48"/>
      <c r="EZ42" s="49"/>
      <c r="FA42" s="50"/>
      <c r="FB42" s="48"/>
      <c r="FC42" s="51"/>
      <c r="FD42" s="47"/>
      <c r="FE42" s="48"/>
      <c r="FF42" s="49"/>
      <c r="FG42" s="50"/>
      <c r="FH42" s="48"/>
      <c r="FI42" s="49"/>
      <c r="FJ42" s="50"/>
      <c r="FK42" s="48"/>
      <c r="FL42" s="49"/>
      <c r="FM42" s="50"/>
      <c r="FN42" s="48"/>
      <c r="FO42" s="51"/>
      <c r="FP42" s="47"/>
      <c r="FQ42" s="48"/>
      <c r="FR42" s="49"/>
      <c r="FS42" s="50"/>
      <c r="FT42" s="48"/>
      <c r="FU42" s="49"/>
      <c r="FV42" s="50"/>
      <c r="FW42" s="48"/>
      <c r="FX42" s="49"/>
      <c r="FY42" s="50"/>
      <c r="FZ42" s="48"/>
      <c r="GA42" s="51"/>
      <c r="GB42" s="47"/>
      <c r="GC42" s="48"/>
      <c r="GD42" s="49"/>
      <c r="GE42" s="50"/>
      <c r="GF42" s="48"/>
      <c r="GG42" s="49"/>
      <c r="GH42" s="50"/>
      <c r="GI42" s="48"/>
      <c r="GJ42" s="49"/>
      <c r="GK42" s="50"/>
      <c r="GL42" s="48"/>
      <c r="GM42" s="52"/>
      <c r="GN42" s="22"/>
    </row>
    <row r="43" spans="1:196" ht="20.100000000000001" customHeight="1">
      <c r="A43" s="21"/>
      <c r="B43" s="199"/>
      <c r="C43" s="77">
        <v>0</v>
      </c>
      <c r="D43" s="35"/>
      <c r="E43" s="36"/>
      <c r="F43" s="37"/>
      <c r="G43" s="38"/>
      <c r="H43" s="36"/>
      <c r="I43" s="37"/>
      <c r="J43" s="38"/>
      <c r="K43" s="36"/>
      <c r="L43" s="37"/>
      <c r="M43" s="38"/>
      <c r="N43" s="36"/>
      <c r="O43" s="39"/>
      <c r="P43" s="35"/>
      <c r="Q43" s="36"/>
      <c r="R43" s="37"/>
      <c r="S43" s="38"/>
      <c r="T43" s="36"/>
      <c r="U43" s="37"/>
      <c r="V43" s="38"/>
      <c r="W43" s="36"/>
      <c r="X43" s="37"/>
      <c r="Y43" s="38"/>
      <c r="Z43" s="36"/>
      <c r="AA43" s="39"/>
      <c r="AB43" s="35"/>
      <c r="AC43" s="36"/>
      <c r="AD43" s="37"/>
      <c r="AE43" s="38"/>
      <c r="AF43" s="36"/>
      <c r="AG43" s="37"/>
      <c r="AH43" s="38"/>
      <c r="AI43" s="36"/>
      <c r="AJ43" s="37"/>
      <c r="AK43" s="38"/>
      <c r="AL43" s="36"/>
      <c r="AM43" s="39"/>
      <c r="AN43" s="35"/>
      <c r="AO43" s="36"/>
      <c r="AP43" s="37"/>
      <c r="AQ43" s="38"/>
      <c r="AR43" s="36"/>
      <c r="AS43" s="37"/>
      <c r="AT43" s="38"/>
      <c r="AU43" s="36"/>
      <c r="AV43" s="37"/>
      <c r="AW43" s="38"/>
      <c r="AX43" s="36"/>
      <c r="AY43" s="39"/>
      <c r="AZ43" s="35"/>
      <c r="BA43" s="36"/>
      <c r="BB43" s="37"/>
      <c r="BC43" s="38"/>
      <c r="BD43" s="36"/>
      <c r="BE43" s="37"/>
      <c r="BF43" s="38"/>
      <c r="BG43" s="36"/>
      <c r="BH43" s="37"/>
      <c r="BI43" s="38"/>
      <c r="BJ43" s="36"/>
      <c r="BK43" s="39"/>
      <c r="BL43" s="35"/>
      <c r="BM43" s="36"/>
      <c r="BN43" s="37"/>
      <c r="BO43" s="38"/>
      <c r="BP43" s="36"/>
      <c r="BQ43" s="37"/>
      <c r="BR43" s="38"/>
      <c r="BS43" s="36"/>
      <c r="BT43" s="37"/>
      <c r="BU43" s="38"/>
      <c r="BV43" s="36"/>
      <c r="BW43" s="39"/>
      <c r="BX43" s="35"/>
      <c r="BY43" s="36"/>
      <c r="BZ43" s="37"/>
      <c r="CA43" s="38"/>
      <c r="CB43" s="36"/>
      <c r="CC43" s="37"/>
      <c r="CD43" s="38"/>
      <c r="CE43" s="36"/>
      <c r="CF43" s="37"/>
      <c r="CG43" s="38"/>
      <c r="CH43" s="36"/>
      <c r="CI43" s="39"/>
      <c r="CJ43" s="35"/>
      <c r="CK43" s="36"/>
      <c r="CL43" s="37"/>
      <c r="CM43" s="38"/>
      <c r="CN43" s="36"/>
      <c r="CO43" s="37"/>
      <c r="CP43" s="38"/>
      <c r="CQ43" s="36"/>
      <c r="CR43" s="37"/>
      <c r="CS43" s="38"/>
      <c r="CT43" s="36"/>
      <c r="CU43" s="39"/>
      <c r="CV43" s="35"/>
      <c r="CW43" s="36"/>
      <c r="CX43" s="37"/>
      <c r="CY43" s="38"/>
      <c r="CZ43" s="36"/>
      <c r="DA43" s="37"/>
      <c r="DB43" s="38"/>
      <c r="DC43" s="36"/>
      <c r="DD43" s="37"/>
      <c r="DE43" s="38"/>
      <c r="DF43" s="36"/>
      <c r="DG43" s="39"/>
      <c r="DH43" s="35"/>
      <c r="DI43" s="36"/>
      <c r="DJ43" s="37"/>
      <c r="DK43" s="38"/>
      <c r="DL43" s="36"/>
      <c r="DM43" s="37"/>
      <c r="DN43" s="38"/>
      <c r="DO43" s="36"/>
      <c r="DP43" s="37"/>
      <c r="DQ43" s="38"/>
      <c r="DR43" s="36"/>
      <c r="DS43" s="39"/>
      <c r="DT43" s="35"/>
      <c r="DU43" s="36"/>
      <c r="DV43" s="37"/>
      <c r="DW43" s="38"/>
      <c r="DX43" s="36"/>
      <c r="DY43" s="37"/>
      <c r="DZ43" s="38"/>
      <c r="EA43" s="36"/>
      <c r="EB43" s="37"/>
      <c r="EC43" s="38"/>
      <c r="ED43" s="36"/>
      <c r="EE43" s="39"/>
      <c r="EF43" s="35"/>
      <c r="EG43" s="36"/>
      <c r="EH43" s="37"/>
      <c r="EI43" s="38"/>
      <c r="EJ43" s="36"/>
      <c r="EK43" s="37"/>
      <c r="EL43" s="38"/>
      <c r="EM43" s="36"/>
      <c r="EN43" s="37"/>
      <c r="EO43" s="38"/>
      <c r="EP43" s="36"/>
      <c r="EQ43" s="39"/>
      <c r="ER43" s="35"/>
      <c r="ES43" s="36"/>
      <c r="ET43" s="37"/>
      <c r="EU43" s="38"/>
      <c r="EV43" s="36"/>
      <c r="EW43" s="37"/>
      <c r="EX43" s="38"/>
      <c r="EY43" s="36"/>
      <c r="EZ43" s="37"/>
      <c r="FA43" s="38"/>
      <c r="FB43" s="36"/>
      <c r="FC43" s="39"/>
      <c r="FD43" s="35"/>
      <c r="FE43" s="36"/>
      <c r="FF43" s="37"/>
      <c r="FG43" s="38"/>
      <c r="FH43" s="36"/>
      <c r="FI43" s="37"/>
      <c r="FJ43" s="38"/>
      <c r="FK43" s="36"/>
      <c r="FL43" s="37"/>
      <c r="FM43" s="38"/>
      <c r="FN43" s="36"/>
      <c r="FO43" s="39"/>
      <c r="FP43" s="35"/>
      <c r="FQ43" s="36"/>
      <c r="FR43" s="37"/>
      <c r="FS43" s="38"/>
      <c r="FT43" s="36"/>
      <c r="FU43" s="37"/>
      <c r="FV43" s="38"/>
      <c r="FW43" s="36"/>
      <c r="FX43" s="37"/>
      <c r="FY43" s="38"/>
      <c r="FZ43" s="36"/>
      <c r="GA43" s="39"/>
      <c r="GB43" s="35"/>
      <c r="GC43" s="36"/>
      <c r="GD43" s="37"/>
      <c r="GE43" s="38"/>
      <c r="GF43" s="36"/>
      <c r="GG43" s="37"/>
      <c r="GH43" s="38"/>
      <c r="GI43" s="36"/>
      <c r="GJ43" s="37"/>
      <c r="GK43" s="38"/>
      <c r="GL43" s="36"/>
      <c r="GM43" s="40"/>
      <c r="GN43" s="22"/>
    </row>
    <row r="44" spans="1:196" ht="20.100000000000001" customHeight="1">
      <c r="A44" s="21"/>
      <c r="B44" s="200"/>
      <c r="C44" s="74">
        <v>0</v>
      </c>
      <c r="D44" s="28"/>
      <c r="E44" s="29"/>
      <c r="F44" s="30"/>
      <c r="G44" s="31"/>
      <c r="H44" s="29"/>
      <c r="I44" s="30"/>
      <c r="J44" s="31"/>
      <c r="K44" s="29"/>
      <c r="L44" s="30"/>
      <c r="M44" s="31"/>
      <c r="N44" s="29"/>
      <c r="O44" s="32"/>
      <c r="P44" s="28"/>
      <c r="Q44" s="29"/>
      <c r="R44" s="30"/>
      <c r="S44" s="31"/>
      <c r="T44" s="29"/>
      <c r="U44" s="30"/>
      <c r="V44" s="31"/>
      <c r="W44" s="29"/>
      <c r="X44" s="30"/>
      <c r="Y44" s="31"/>
      <c r="Z44" s="29"/>
      <c r="AA44" s="32"/>
      <c r="AB44" s="28"/>
      <c r="AC44" s="29"/>
      <c r="AD44" s="30"/>
      <c r="AE44" s="31"/>
      <c r="AF44" s="29"/>
      <c r="AG44" s="30"/>
      <c r="AH44" s="31"/>
      <c r="AI44" s="29"/>
      <c r="AJ44" s="30"/>
      <c r="AK44" s="31"/>
      <c r="AL44" s="29"/>
      <c r="AM44" s="32"/>
      <c r="AN44" s="28"/>
      <c r="AO44" s="29"/>
      <c r="AP44" s="30"/>
      <c r="AQ44" s="31"/>
      <c r="AR44" s="29"/>
      <c r="AS44" s="30"/>
      <c r="AT44" s="31"/>
      <c r="AU44" s="29"/>
      <c r="AV44" s="30"/>
      <c r="AW44" s="31"/>
      <c r="AX44" s="29"/>
      <c r="AY44" s="32"/>
      <c r="AZ44" s="28"/>
      <c r="BA44" s="29"/>
      <c r="BB44" s="30"/>
      <c r="BC44" s="31"/>
      <c r="BD44" s="29"/>
      <c r="BE44" s="30"/>
      <c r="BF44" s="31"/>
      <c r="BG44" s="29"/>
      <c r="BH44" s="30"/>
      <c r="BI44" s="31"/>
      <c r="BJ44" s="29"/>
      <c r="BK44" s="32"/>
      <c r="BL44" s="28"/>
      <c r="BM44" s="29"/>
      <c r="BN44" s="30"/>
      <c r="BO44" s="31"/>
      <c r="BP44" s="29"/>
      <c r="BQ44" s="30"/>
      <c r="BR44" s="31"/>
      <c r="BS44" s="29"/>
      <c r="BT44" s="30"/>
      <c r="BU44" s="31"/>
      <c r="BV44" s="29"/>
      <c r="BW44" s="32"/>
      <c r="BX44" s="28"/>
      <c r="BY44" s="29"/>
      <c r="BZ44" s="30"/>
      <c r="CA44" s="31"/>
      <c r="CB44" s="29"/>
      <c r="CC44" s="30"/>
      <c r="CD44" s="31"/>
      <c r="CE44" s="29"/>
      <c r="CF44" s="30"/>
      <c r="CG44" s="31"/>
      <c r="CH44" s="29"/>
      <c r="CI44" s="32"/>
      <c r="CJ44" s="28"/>
      <c r="CK44" s="29"/>
      <c r="CL44" s="30"/>
      <c r="CM44" s="31"/>
      <c r="CN44" s="29"/>
      <c r="CO44" s="30"/>
      <c r="CP44" s="31"/>
      <c r="CQ44" s="29"/>
      <c r="CR44" s="30"/>
      <c r="CS44" s="31"/>
      <c r="CT44" s="29"/>
      <c r="CU44" s="32"/>
      <c r="CV44" s="28"/>
      <c r="CW44" s="29"/>
      <c r="CX44" s="30"/>
      <c r="CY44" s="31"/>
      <c r="CZ44" s="29"/>
      <c r="DA44" s="30"/>
      <c r="DB44" s="31"/>
      <c r="DC44" s="29"/>
      <c r="DD44" s="30"/>
      <c r="DE44" s="31"/>
      <c r="DF44" s="29"/>
      <c r="DG44" s="32"/>
      <c r="DH44" s="28"/>
      <c r="DI44" s="29"/>
      <c r="DJ44" s="30"/>
      <c r="DK44" s="31"/>
      <c r="DL44" s="29"/>
      <c r="DM44" s="30"/>
      <c r="DN44" s="31"/>
      <c r="DO44" s="29"/>
      <c r="DP44" s="30"/>
      <c r="DQ44" s="31"/>
      <c r="DR44" s="29"/>
      <c r="DS44" s="32"/>
      <c r="DT44" s="28"/>
      <c r="DU44" s="29"/>
      <c r="DV44" s="30"/>
      <c r="DW44" s="31"/>
      <c r="DX44" s="29"/>
      <c r="DY44" s="30"/>
      <c r="DZ44" s="31"/>
      <c r="EA44" s="29"/>
      <c r="EB44" s="30"/>
      <c r="EC44" s="31"/>
      <c r="ED44" s="29"/>
      <c r="EE44" s="32"/>
      <c r="EF44" s="28"/>
      <c r="EG44" s="29"/>
      <c r="EH44" s="30"/>
      <c r="EI44" s="31"/>
      <c r="EJ44" s="29"/>
      <c r="EK44" s="30"/>
      <c r="EL44" s="31"/>
      <c r="EM44" s="29"/>
      <c r="EN44" s="30"/>
      <c r="EO44" s="31"/>
      <c r="EP44" s="29"/>
      <c r="EQ44" s="32"/>
      <c r="ER44" s="28"/>
      <c r="ES44" s="29"/>
      <c r="ET44" s="30"/>
      <c r="EU44" s="31"/>
      <c r="EV44" s="29"/>
      <c r="EW44" s="30"/>
      <c r="EX44" s="31"/>
      <c r="EY44" s="29"/>
      <c r="EZ44" s="30"/>
      <c r="FA44" s="31"/>
      <c r="FB44" s="29"/>
      <c r="FC44" s="32"/>
      <c r="FD44" s="28"/>
      <c r="FE44" s="29"/>
      <c r="FF44" s="30"/>
      <c r="FG44" s="31"/>
      <c r="FH44" s="29"/>
      <c r="FI44" s="30"/>
      <c r="FJ44" s="31"/>
      <c r="FK44" s="29"/>
      <c r="FL44" s="30"/>
      <c r="FM44" s="31"/>
      <c r="FN44" s="29"/>
      <c r="FO44" s="32"/>
      <c r="FP44" s="28"/>
      <c r="FQ44" s="29"/>
      <c r="FR44" s="30"/>
      <c r="FS44" s="31"/>
      <c r="FT44" s="29"/>
      <c r="FU44" s="30"/>
      <c r="FV44" s="31"/>
      <c r="FW44" s="29"/>
      <c r="FX44" s="30"/>
      <c r="FY44" s="31"/>
      <c r="FZ44" s="29"/>
      <c r="GA44" s="32"/>
      <c r="GB44" s="28"/>
      <c r="GC44" s="29"/>
      <c r="GD44" s="30"/>
      <c r="GE44" s="31"/>
      <c r="GF44" s="29"/>
      <c r="GG44" s="30"/>
      <c r="GH44" s="31"/>
      <c r="GI44" s="29"/>
      <c r="GJ44" s="30"/>
      <c r="GK44" s="31"/>
      <c r="GL44" s="29"/>
      <c r="GM44" s="34"/>
      <c r="GN44" s="22"/>
    </row>
    <row r="45" spans="1:196" ht="20.100000000000001" customHeight="1">
      <c r="A45" s="21"/>
      <c r="B45" s="78" t="s">
        <v>39</v>
      </c>
      <c r="C45" s="79">
        <f>SUM(C13,C15,C17,C19,C21,C23,C25,C27,C29,C31,C33,C35,C37,C39,C43)</f>
        <v>0</v>
      </c>
      <c r="D45" s="80"/>
      <c r="E45" s="81"/>
      <c r="F45" s="81"/>
      <c r="G45" s="81"/>
      <c r="H45" s="81"/>
      <c r="I45" s="81"/>
      <c r="J45" s="81"/>
      <c r="K45" s="81"/>
      <c r="L45" s="81"/>
      <c r="M45" s="81"/>
      <c r="N45" s="81"/>
      <c r="O45" s="81"/>
      <c r="P45" s="81"/>
      <c r="Q45" s="81"/>
      <c r="R45" s="81"/>
      <c r="S45" s="81"/>
      <c r="T45" s="81"/>
      <c r="U45" s="81"/>
      <c r="V45" s="81"/>
      <c r="W45" s="81"/>
      <c r="X45" s="81"/>
      <c r="Y45" s="81"/>
      <c r="Z45" s="81"/>
      <c r="AA45" s="81"/>
      <c r="AB45" s="81"/>
      <c r="AC45" s="81"/>
      <c r="AD45" s="81"/>
      <c r="AE45" s="81"/>
      <c r="AF45" s="81"/>
      <c r="AG45" s="81"/>
      <c r="AH45" s="81"/>
      <c r="AI45" s="81"/>
      <c r="AJ45" s="81"/>
      <c r="AK45" s="81"/>
      <c r="AL45" s="81"/>
      <c r="AM45" s="81"/>
      <c r="AN45" s="81"/>
      <c r="AO45" s="81"/>
      <c r="AP45" s="81"/>
      <c r="AQ45" s="81"/>
      <c r="AR45" s="81"/>
      <c r="AS45" s="81"/>
      <c r="AT45" s="81"/>
      <c r="AU45" s="81"/>
      <c r="AV45" s="81"/>
      <c r="AW45" s="81"/>
      <c r="AX45" s="81"/>
      <c r="AY45" s="81"/>
      <c r="AZ45" s="81"/>
      <c r="BA45" s="81"/>
      <c r="BB45" s="81"/>
      <c r="BC45" s="81"/>
      <c r="BD45" s="81"/>
      <c r="BE45" s="81"/>
      <c r="BF45" s="81"/>
      <c r="BG45" s="81"/>
      <c r="BH45" s="81"/>
      <c r="BI45" s="81"/>
      <c r="BJ45" s="81"/>
      <c r="BK45" s="81"/>
      <c r="BL45" s="81"/>
      <c r="BM45" s="81"/>
      <c r="BN45" s="81"/>
      <c r="BO45" s="81"/>
      <c r="BP45" s="81"/>
      <c r="BQ45" s="81"/>
      <c r="BR45" s="81"/>
      <c r="BS45" s="81"/>
      <c r="BT45" s="81"/>
      <c r="BU45" s="81"/>
      <c r="BV45" s="81"/>
      <c r="BW45" s="81"/>
      <c r="BX45" s="81"/>
      <c r="BY45" s="81"/>
      <c r="BZ45" s="81"/>
      <c r="CA45" s="81"/>
      <c r="CB45" s="81"/>
      <c r="CC45" s="81"/>
      <c r="CD45" s="81"/>
      <c r="CE45" s="81"/>
      <c r="CF45" s="81"/>
      <c r="CG45" s="81"/>
      <c r="CH45" s="81"/>
      <c r="CI45" s="81"/>
      <c r="CJ45" s="81"/>
      <c r="CK45" s="81"/>
      <c r="CL45" s="81"/>
      <c r="CM45" s="81"/>
      <c r="CN45" s="81"/>
      <c r="CO45" s="81"/>
      <c r="CP45" s="81"/>
      <c r="CQ45" s="81"/>
      <c r="CR45" s="81"/>
      <c r="CS45" s="81"/>
      <c r="CT45" s="81"/>
      <c r="CU45" s="81"/>
      <c r="CV45" s="81"/>
      <c r="CW45" s="81"/>
      <c r="CX45" s="81"/>
      <c r="CY45" s="81"/>
      <c r="CZ45" s="81"/>
      <c r="DA45" s="81"/>
      <c r="DB45" s="81"/>
      <c r="DC45" s="81"/>
      <c r="DD45" s="81"/>
      <c r="DE45" s="81"/>
      <c r="DF45" s="81"/>
      <c r="DG45" s="81"/>
      <c r="DH45" s="81"/>
      <c r="DI45" s="81"/>
      <c r="DJ45" s="81"/>
      <c r="DK45" s="81"/>
      <c r="DL45" s="81"/>
      <c r="DM45" s="81"/>
      <c r="DN45" s="81"/>
      <c r="DO45" s="81"/>
      <c r="DP45" s="81"/>
      <c r="DQ45" s="81"/>
      <c r="DR45" s="81"/>
      <c r="DS45" s="81"/>
      <c r="DT45" s="81"/>
      <c r="DU45" s="81"/>
      <c r="DV45" s="81"/>
      <c r="DW45" s="81"/>
      <c r="DX45" s="81"/>
      <c r="DY45" s="81"/>
      <c r="DZ45" s="81"/>
      <c r="EA45" s="81"/>
      <c r="EB45" s="81"/>
      <c r="EC45" s="81"/>
      <c r="ED45" s="81"/>
      <c r="EE45" s="81"/>
      <c r="EF45" s="81"/>
      <c r="EG45" s="81"/>
      <c r="EH45" s="81"/>
      <c r="EI45" s="81"/>
      <c r="EJ45" s="81"/>
      <c r="EK45" s="81"/>
      <c r="EL45" s="81"/>
      <c r="EM45" s="81"/>
      <c r="EN45" s="81"/>
      <c r="EO45" s="81"/>
      <c r="EP45" s="81"/>
      <c r="EQ45" s="81"/>
      <c r="ER45" s="81"/>
      <c r="ES45" s="81"/>
      <c r="ET45" s="81"/>
      <c r="EU45" s="81"/>
      <c r="EV45" s="81"/>
      <c r="EW45" s="81"/>
      <c r="EX45" s="81"/>
      <c r="EY45" s="81"/>
      <c r="EZ45" s="81"/>
      <c r="FA45" s="81"/>
      <c r="FB45" s="81"/>
      <c r="FC45" s="81"/>
      <c r="FD45" s="81"/>
      <c r="FE45" s="81"/>
      <c r="FF45" s="81"/>
      <c r="FG45" s="81"/>
      <c r="FH45" s="81"/>
      <c r="FI45" s="81"/>
      <c r="FJ45" s="81"/>
      <c r="FK45" s="81"/>
      <c r="FL45" s="81"/>
      <c r="FM45" s="81"/>
      <c r="FN45" s="81"/>
      <c r="FO45" s="81"/>
      <c r="FP45" s="81"/>
      <c r="FQ45" s="81"/>
      <c r="FR45" s="81"/>
      <c r="FS45" s="81"/>
      <c r="FT45" s="81"/>
      <c r="FU45" s="81"/>
      <c r="FV45" s="81"/>
      <c r="FW45" s="81"/>
      <c r="FX45" s="81"/>
      <c r="FY45" s="81"/>
      <c r="FZ45" s="81"/>
      <c r="GA45" s="81"/>
      <c r="GB45" s="81"/>
      <c r="GC45" s="81"/>
      <c r="GD45" s="81"/>
      <c r="GE45" s="81"/>
      <c r="GF45" s="81"/>
      <c r="GG45" s="81"/>
      <c r="GH45" s="81"/>
      <c r="GI45" s="81"/>
      <c r="GJ45" s="81"/>
      <c r="GK45" s="81"/>
      <c r="GL45" s="81"/>
      <c r="GM45" s="82"/>
      <c r="GN45" s="22"/>
    </row>
    <row r="46" spans="1:196" ht="20.100000000000001" customHeight="1" thickBot="1">
      <c r="A46" s="21"/>
      <c r="B46" s="83" t="s">
        <v>40</v>
      </c>
      <c r="C46" s="84">
        <f>SUM(C14,C16,C18,C20,C22,C24,C26,C28,C30,C32,C34,C36,C38,C40,C44)</f>
        <v>0</v>
      </c>
      <c r="D46" s="85"/>
      <c r="E46" s="86"/>
      <c r="F46" s="86"/>
      <c r="G46" s="86"/>
      <c r="H46" s="86"/>
      <c r="I46" s="86"/>
      <c r="J46" s="86"/>
      <c r="K46" s="86"/>
      <c r="L46" s="86"/>
      <c r="M46" s="86"/>
      <c r="N46" s="86"/>
      <c r="O46" s="86"/>
      <c r="P46" s="86"/>
      <c r="Q46" s="86"/>
      <c r="R46" s="86"/>
      <c r="S46" s="86"/>
      <c r="T46" s="86"/>
      <c r="U46" s="86"/>
      <c r="V46" s="86"/>
      <c r="W46" s="86"/>
      <c r="X46" s="86"/>
      <c r="Y46" s="86"/>
      <c r="Z46" s="86"/>
      <c r="AA46" s="86"/>
      <c r="AB46" s="86"/>
      <c r="AC46" s="86"/>
      <c r="AD46" s="86"/>
      <c r="AE46" s="86"/>
      <c r="AF46" s="86"/>
      <c r="AG46" s="86"/>
      <c r="AH46" s="86"/>
      <c r="AI46" s="86"/>
      <c r="AJ46" s="86"/>
      <c r="AK46" s="86"/>
      <c r="AL46" s="86"/>
      <c r="AM46" s="86"/>
      <c r="AN46" s="86"/>
      <c r="AO46" s="86"/>
      <c r="AP46" s="86"/>
      <c r="AQ46" s="86"/>
      <c r="AR46" s="86"/>
      <c r="AS46" s="86"/>
      <c r="AT46" s="86"/>
      <c r="AU46" s="86"/>
      <c r="AV46" s="86"/>
      <c r="AW46" s="86"/>
      <c r="AX46" s="86"/>
      <c r="AY46" s="86"/>
      <c r="AZ46" s="86"/>
      <c r="BA46" s="86"/>
      <c r="BB46" s="86"/>
      <c r="BC46" s="86"/>
      <c r="BD46" s="86"/>
      <c r="BE46" s="86"/>
      <c r="BF46" s="86"/>
      <c r="BG46" s="86"/>
      <c r="BH46" s="86"/>
      <c r="BI46" s="86"/>
      <c r="BJ46" s="86"/>
      <c r="BK46" s="86"/>
      <c r="BL46" s="86"/>
      <c r="BM46" s="86"/>
      <c r="BN46" s="86"/>
      <c r="BO46" s="86"/>
      <c r="BP46" s="86"/>
      <c r="BQ46" s="86"/>
      <c r="BR46" s="86"/>
      <c r="BS46" s="86"/>
      <c r="BT46" s="86"/>
      <c r="BU46" s="86"/>
      <c r="BV46" s="86"/>
      <c r="BW46" s="86"/>
      <c r="BX46" s="86"/>
      <c r="BY46" s="86"/>
      <c r="BZ46" s="86"/>
      <c r="CA46" s="86"/>
      <c r="CB46" s="86"/>
      <c r="CC46" s="86"/>
      <c r="CD46" s="86"/>
      <c r="CE46" s="86"/>
      <c r="CF46" s="86"/>
      <c r="CG46" s="86"/>
      <c r="CH46" s="86"/>
      <c r="CI46" s="86"/>
      <c r="CJ46" s="86"/>
      <c r="CK46" s="86"/>
      <c r="CL46" s="86"/>
      <c r="CM46" s="86"/>
      <c r="CN46" s="86"/>
      <c r="CO46" s="86"/>
      <c r="CP46" s="86"/>
      <c r="CQ46" s="86"/>
      <c r="CR46" s="86"/>
      <c r="CS46" s="86"/>
      <c r="CT46" s="86"/>
      <c r="CU46" s="86"/>
      <c r="CV46" s="86"/>
      <c r="CW46" s="86"/>
      <c r="CX46" s="86"/>
      <c r="CY46" s="86"/>
      <c r="CZ46" s="86"/>
      <c r="DA46" s="86"/>
      <c r="DB46" s="86"/>
      <c r="DC46" s="86"/>
      <c r="DD46" s="86"/>
      <c r="DE46" s="86"/>
      <c r="DF46" s="86"/>
      <c r="DG46" s="86"/>
      <c r="DH46" s="86"/>
      <c r="DI46" s="86"/>
      <c r="DJ46" s="86"/>
      <c r="DK46" s="86"/>
      <c r="DL46" s="86"/>
      <c r="DM46" s="86"/>
      <c r="DN46" s="86"/>
      <c r="DO46" s="86"/>
      <c r="DP46" s="86"/>
      <c r="DQ46" s="86"/>
      <c r="DR46" s="86"/>
      <c r="DS46" s="86"/>
      <c r="DT46" s="86"/>
      <c r="DU46" s="86"/>
      <c r="DV46" s="86"/>
      <c r="DW46" s="86"/>
      <c r="DX46" s="86"/>
      <c r="DY46" s="86"/>
      <c r="DZ46" s="86"/>
      <c r="EA46" s="86"/>
      <c r="EB46" s="86"/>
      <c r="EC46" s="86"/>
      <c r="ED46" s="86"/>
      <c r="EE46" s="86"/>
      <c r="EF46" s="86"/>
      <c r="EG46" s="86"/>
      <c r="EH46" s="86"/>
      <c r="EI46" s="86"/>
      <c r="EJ46" s="86"/>
      <c r="EK46" s="86"/>
      <c r="EL46" s="86"/>
      <c r="EM46" s="86"/>
      <c r="EN46" s="86"/>
      <c r="EO46" s="86"/>
      <c r="EP46" s="86"/>
      <c r="EQ46" s="86"/>
      <c r="ER46" s="86"/>
      <c r="ES46" s="86"/>
      <c r="ET46" s="86"/>
      <c r="EU46" s="86"/>
      <c r="EV46" s="86"/>
      <c r="EW46" s="86"/>
      <c r="EX46" s="86"/>
      <c r="EY46" s="86"/>
      <c r="EZ46" s="86"/>
      <c r="FA46" s="86"/>
      <c r="FB46" s="86"/>
      <c r="FC46" s="86"/>
      <c r="FD46" s="86"/>
      <c r="FE46" s="86"/>
      <c r="FF46" s="86"/>
      <c r="FG46" s="86"/>
      <c r="FH46" s="86"/>
      <c r="FI46" s="86"/>
      <c r="FJ46" s="86"/>
      <c r="FK46" s="86"/>
      <c r="FL46" s="86"/>
      <c r="FM46" s="86"/>
      <c r="FN46" s="86"/>
      <c r="FO46" s="86"/>
      <c r="FP46" s="86"/>
      <c r="FQ46" s="86"/>
      <c r="FR46" s="86"/>
      <c r="FS46" s="86"/>
      <c r="FT46" s="86"/>
      <c r="FU46" s="86"/>
      <c r="FV46" s="86"/>
      <c r="FW46" s="86"/>
      <c r="FX46" s="86"/>
      <c r="FY46" s="86"/>
      <c r="FZ46" s="86"/>
      <c r="GA46" s="86"/>
      <c r="GB46" s="86"/>
      <c r="GC46" s="86"/>
      <c r="GD46" s="86"/>
      <c r="GE46" s="86"/>
      <c r="GF46" s="86"/>
      <c r="GG46" s="86"/>
      <c r="GH46" s="86"/>
      <c r="GI46" s="86"/>
      <c r="GJ46" s="86"/>
      <c r="GK46" s="86"/>
      <c r="GL46" s="86"/>
      <c r="GM46" s="87"/>
      <c r="GN46" s="22"/>
    </row>
    <row r="47" spans="1:196" ht="20.100000000000001" customHeight="1" thickBot="1">
      <c r="A47" s="25"/>
      <c r="B47" s="13"/>
      <c r="C47" s="13"/>
      <c r="D47" s="13"/>
      <c r="E47" s="13"/>
      <c r="F47" s="13"/>
      <c r="G47" s="13"/>
      <c r="H47" s="13"/>
      <c r="I47" s="13"/>
      <c r="J47" s="13"/>
      <c r="K47" s="13"/>
      <c r="L47" s="13"/>
      <c r="M47" s="13"/>
      <c r="N47" s="13"/>
      <c r="O47" s="13"/>
      <c r="P47" s="13"/>
      <c r="Q47" s="13"/>
      <c r="R47" s="13"/>
      <c r="S47" s="13"/>
      <c r="T47" s="13"/>
      <c r="U47" s="13"/>
      <c r="V47" s="13"/>
      <c r="W47" s="13"/>
      <c r="X47" s="13"/>
      <c r="Y47" s="13"/>
      <c r="Z47" s="13"/>
      <c r="AA47" s="13"/>
      <c r="AB47" s="13"/>
      <c r="AC47" s="13"/>
      <c r="AD47" s="13"/>
      <c r="AE47" s="13"/>
      <c r="AF47" s="13"/>
      <c r="AG47" s="13"/>
      <c r="AH47" s="13"/>
      <c r="AI47" s="13"/>
      <c r="AJ47" s="13"/>
      <c r="AK47" s="13"/>
      <c r="AL47" s="13"/>
      <c r="AM47" s="13"/>
      <c r="AN47" s="13"/>
      <c r="AO47" s="13"/>
      <c r="AP47" s="13"/>
      <c r="AQ47" s="13"/>
      <c r="AR47" s="13"/>
      <c r="AS47" s="13"/>
      <c r="AT47" s="13"/>
      <c r="AU47" s="13"/>
      <c r="AV47" s="13"/>
      <c r="AW47" s="13"/>
      <c r="AX47" s="13"/>
      <c r="AY47" s="13"/>
      <c r="AZ47" s="13"/>
      <c r="BA47" s="13"/>
      <c r="BB47" s="13"/>
      <c r="BC47" s="13"/>
      <c r="BD47" s="13"/>
      <c r="BE47" s="13"/>
      <c r="BF47" s="13"/>
      <c r="BG47" s="13"/>
      <c r="BH47" s="13"/>
      <c r="BI47" s="13"/>
      <c r="BJ47" s="13"/>
      <c r="BK47" s="13"/>
      <c r="BL47" s="13"/>
      <c r="BM47" s="13"/>
      <c r="BN47" s="13"/>
      <c r="BO47" s="13"/>
      <c r="BP47" s="13"/>
      <c r="BQ47" s="13"/>
      <c r="BR47" s="13"/>
      <c r="BS47" s="13"/>
      <c r="BT47" s="13"/>
      <c r="BU47" s="13"/>
      <c r="BV47" s="13"/>
      <c r="BW47" s="13"/>
      <c r="BX47" s="13"/>
      <c r="BY47" s="13"/>
      <c r="BZ47" s="13"/>
      <c r="CA47" s="13"/>
      <c r="CB47" s="13"/>
      <c r="CC47" s="13"/>
      <c r="CD47" s="13"/>
      <c r="CE47" s="13"/>
      <c r="CF47" s="13"/>
      <c r="CG47" s="13"/>
      <c r="CH47" s="13"/>
      <c r="CI47" s="13"/>
      <c r="CJ47" s="13"/>
      <c r="CK47" s="13"/>
      <c r="CL47" s="13"/>
      <c r="CM47" s="13"/>
      <c r="CN47" s="13"/>
      <c r="CO47" s="13"/>
      <c r="CP47" s="13"/>
      <c r="CQ47" s="13"/>
      <c r="CR47" s="13"/>
      <c r="CS47" s="13"/>
      <c r="CT47" s="13"/>
      <c r="CU47" s="13"/>
      <c r="CV47" s="13"/>
      <c r="CW47" s="13"/>
      <c r="CX47" s="13"/>
      <c r="CY47" s="13"/>
      <c r="CZ47" s="13"/>
      <c r="DA47" s="13"/>
      <c r="DB47" s="13"/>
      <c r="DC47" s="13"/>
      <c r="DD47" s="13"/>
      <c r="DE47" s="13"/>
      <c r="DF47" s="13"/>
      <c r="DG47" s="13"/>
      <c r="DH47" s="13"/>
      <c r="DI47" s="13"/>
      <c r="DJ47" s="13"/>
      <c r="DK47" s="13"/>
      <c r="DL47" s="13"/>
      <c r="DM47" s="13"/>
      <c r="DN47" s="13"/>
      <c r="DO47" s="13"/>
      <c r="DP47" s="13"/>
      <c r="DQ47" s="13"/>
      <c r="DR47" s="13"/>
      <c r="DS47" s="13"/>
      <c r="DT47" s="13"/>
      <c r="DU47" s="13"/>
      <c r="DV47" s="13"/>
      <c r="DW47" s="13"/>
      <c r="DX47" s="13"/>
      <c r="DY47" s="13"/>
      <c r="DZ47" s="13"/>
      <c r="EA47" s="13"/>
      <c r="EB47" s="13"/>
      <c r="EC47" s="13"/>
      <c r="ED47" s="13"/>
      <c r="EE47" s="13"/>
      <c r="EF47" s="13"/>
      <c r="EG47" s="13"/>
      <c r="EH47" s="13"/>
      <c r="EI47" s="13"/>
      <c r="EJ47" s="13"/>
      <c r="EK47" s="13"/>
      <c r="EL47" s="13"/>
      <c r="EM47" s="13"/>
      <c r="EN47" s="13"/>
      <c r="EO47" s="13"/>
      <c r="EP47" s="13"/>
      <c r="EQ47" s="13"/>
      <c r="ER47" s="13"/>
      <c r="ES47" s="13"/>
      <c r="ET47" s="13"/>
      <c r="EU47" s="13"/>
      <c r="EV47" s="13"/>
      <c r="EW47" s="13"/>
      <c r="EX47" s="13"/>
      <c r="EY47" s="13"/>
      <c r="EZ47" s="13"/>
      <c r="FA47" s="13"/>
      <c r="FB47" s="13"/>
      <c r="FC47" s="13"/>
      <c r="FD47" s="13"/>
      <c r="FE47" s="13"/>
      <c r="FF47" s="13"/>
      <c r="FG47" s="13"/>
      <c r="FH47" s="13"/>
      <c r="FI47" s="13"/>
      <c r="FJ47" s="13"/>
      <c r="FK47" s="13"/>
      <c r="FL47" s="13"/>
      <c r="FM47" s="13"/>
      <c r="FN47" s="13"/>
      <c r="FO47" s="13"/>
      <c r="FP47" s="13"/>
      <c r="FQ47" s="13"/>
      <c r="FR47" s="13"/>
      <c r="FS47" s="13"/>
      <c r="FT47" s="13"/>
      <c r="FU47" s="13"/>
      <c r="FV47" s="13"/>
      <c r="FW47" s="13"/>
      <c r="FX47" s="13"/>
      <c r="FY47" s="13"/>
      <c r="FZ47" s="13"/>
      <c r="GA47" s="13"/>
      <c r="GB47" s="13"/>
      <c r="GC47" s="13"/>
      <c r="GD47" s="13"/>
      <c r="GE47" s="13"/>
      <c r="GF47" s="13"/>
      <c r="GG47" s="13"/>
      <c r="GH47" s="13"/>
      <c r="GI47" s="13"/>
      <c r="GJ47" s="13"/>
      <c r="GK47" s="13"/>
      <c r="GL47" s="13"/>
      <c r="GM47" s="13"/>
      <c r="GN47" s="26"/>
    </row>
  </sheetData>
  <sheetProtection insertRows="0" insertHyperlinks="0" selectLockedCells="1"/>
  <mergeCells count="18">
    <mergeCell ref="B17:B18"/>
    <mergeCell ref="B19:B20"/>
    <mergeCell ref="B1:C1"/>
    <mergeCell ref="B7:C7"/>
    <mergeCell ref="B13:B14"/>
    <mergeCell ref="B15:B16"/>
    <mergeCell ref="B43:B44"/>
    <mergeCell ref="B29:B30"/>
    <mergeCell ref="B31:B32"/>
    <mergeCell ref="B33:B34"/>
    <mergeCell ref="B35:B36"/>
    <mergeCell ref="B41:B42"/>
    <mergeCell ref="B21:B22"/>
    <mergeCell ref="B23:B24"/>
    <mergeCell ref="B37:B38"/>
    <mergeCell ref="B39:B40"/>
    <mergeCell ref="B25:B26"/>
    <mergeCell ref="B27:B28"/>
  </mergeCells>
  <phoneticPr fontId="0" type="noConversion"/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15:C45" xr:uid="{00000000-0002-0000-0000-000000000000}">
      <formula1>0</formula1>
      <formula2>$C$9</formula2>
    </dataValidation>
  </dataValidations>
  <printOptions horizontalCentered="1" verticalCentered="1"/>
  <pageMargins left="0.39370078740157483" right="0.39370078740157483" top="0.59055118110236227" bottom="0.59055118110236227" header="0.31496062992125984" footer="0.31496062992125984"/>
  <pageSetup paperSize="9" scale="32" orientation="landscape" r:id="rId1"/>
  <headerFooter alignWithMargins="0">
    <oddHeader>&amp;L&amp;"ETML,Normal"&amp;20ETML&amp;"Arial,Normal"&amp;12 &amp;14section Informatique</oddHeader>
    <oddFooter>&amp;L&amp;14&amp;D&amp;C&amp;14&amp;F&amp;R&amp;14BSI  -  &amp;P/&amp;N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">
    <pageSetUpPr fitToPage="1"/>
  </sheetPr>
  <dimension ref="A1:E194"/>
  <sheetViews>
    <sheetView showGridLines="0" zoomScaleNormal="100" zoomScaleSheetLayoutView="98" workbookViewId="0">
      <selection activeCell="A161" sqref="A161:D166"/>
    </sheetView>
  </sheetViews>
  <sheetFormatPr defaultColWidth="11.42578125" defaultRowHeight="11.25"/>
  <cols>
    <col min="1" max="1" width="21.42578125" style="10" customWidth="1"/>
    <col min="2" max="2" width="8.42578125" style="10" bestFit="1" customWidth="1"/>
    <col min="3" max="3" width="87" style="10" customWidth="1"/>
    <col min="4" max="4" width="44.28515625" style="10" customWidth="1"/>
    <col min="5" max="5" width="11.42578125" style="7"/>
    <col min="6" max="16384" width="11.42578125" style="11"/>
  </cols>
  <sheetData>
    <row r="1" spans="1:5" s="2" customFormat="1" ht="30" customHeight="1" thickBot="1">
      <c r="A1" s="59" t="s">
        <v>41</v>
      </c>
      <c r="B1" s="60" t="s">
        <v>42</v>
      </c>
      <c r="C1" s="61"/>
      <c r="D1" s="61"/>
      <c r="E1" s="33"/>
    </row>
    <row r="2" spans="1:5" s="2" customFormat="1" ht="30" customHeight="1" thickBot="1">
      <c r="A2" s="62" t="s">
        <v>43</v>
      </c>
      <c r="B2" s="63" t="s">
        <v>44</v>
      </c>
      <c r="C2" s="62" t="s">
        <v>45</v>
      </c>
      <c r="D2" s="62" t="s">
        <v>46</v>
      </c>
      <c r="E2" s="33"/>
    </row>
    <row r="3" spans="1:5" s="1" customFormat="1" ht="12.75">
      <c r="A3" s="116"/>
      <c r="B3" s="117"/>
      <c r="C3" s="118"/>
      <c r="D3" s="125"/>
      <c r="E3" s="7"/>
    </row>
    <row r="4" spans="1:5" s="1" customFormat="1" ht="12.75">
      <c r="A4" s="58"/>
      <c r="B4" s="5"/>
      <c r="C4" s="55"/>
      <c r="D4" s="99"/>
      <c r="E4" s="7"/>
    </row>
    <row r="5" spans="1:5" s="1" customFormat="1" ht="12.75">
      <c r="A5" s="58"/>
      <c r="B5" s="5"/>
      <c r="C5" s="55"/>
      <c r="D5" s="99"/>
      <c r="E5" s="7"/>
    </row>
    <row r="6" spans="1:5" s="1" customFormat="1" ht="12.75">
      <c r="A6" s="58"/>
      <c r="B6" s="5"/>
      <c r="C6" s="55"/>
      <c r="D6" s="99"/>
      <c r="E6" s="7"/>
    </row>
    <row r="7" spans="1:5" s="1" customFormat="1" ht="12.75">
      <c r="A7" s="5"/>
      <c r="B7" s="5"/>
      <c r="C7" s="55"/>
      <c r="D7" s="99"/>
      <c r="E7" s="7"/>
    </row>
    <row r="8" spans="1:5" s="1" customFormat="1" ht="12.75">
      <c r="A8" s="5"/>
      <c r="B8" s="5"/>
      <c r="C8" s="55"/>
      <c r="D8" s="123"/>
      <c r="E8" s="7"/>
    </row>
    <row r="9" spans="1:5" s="1" customFormat="1" ht="12.75">
      <c r="A9" s="58"/>
      <c r="B9" s="5"/>
      <c r="C9" s="55"/>
      <c r="D9" s="123"/>
      <c r="E9" s="7"/>
    </row>
    <row r="10" spans="1:5" s="1" customFormat="1" ht="13.5" thickBot="1">
      <c r="A10" s="107"/>
      <c r="B10" s="107"/>
      <c r="C10" s="108"/>
      <c r="D10" s="122"/>
      <c r="E10" s="7"/>
    </row>
    <row r="11" spans="1:5" s="1" customFormat="1" ht="13.5" thickBot="1">
      <c r="A11" s="64" t="s">
        <v>47</v>
      </c>
      <c r="B11" s="64">
        <f>SUM(B3:B9)</f>
        <v>0</v>
      </c>
      <c r="C11" s="65"/>
      <c r="D11" s="65"/>
      <c r="E11" s="7"/>
    </row>
    <row r="12" spans="1:5" s="1" customFormat="1" ht="12" thickBot="1">
      <c r="A12" s="66"/>
      <c r="B12" s="66"/>
      <c r="C12" s="66"/>
      <c r="D12" s="114"/>
      <c r="E12" s="7"/>
    </row>
    <row r="13" spans="1:5" s="2" customFormat="1" ht="30" customHeight="1" thickBot="1">
      <c r="A13" s="59" t="s">
        <v>41</v>
      </c>
      <c r="B13" s="60" t="s">
        <v>48</v>
      </c>
      <c r="C13" s="61"/>
      <c r="D13" s="61"/>
      <c r="E13" s="33"/>
    </row>
    <row r="14" spans="1:5" s="2" customFormat="1" ht="30" customHeight="1" thickBot="1">
      <c r="A14" s="62" t="s">
        <v>43</v>
      </c>
      <c r="B14" s="63" t="s">
        <v>49</v>
      </c>
      <c r="C14" s="62" t="s">
        <v>45</v>
      </c>
      <c r="D14" s="62" t="s">
        <v>46</v>
      </c>
      <c r="E14" s="33"/>
    </row>
    <row r="15" spans="1:5" s="1" customFormat="1" ht="12.75">
      <c r="A15" s="5"/>
      <c r="B15" s="5"/>
      <c r="C15" s="55"/>
      <c r="D15" s="123"/>
      <c r="E15" s="7"/>
    </row>
    <row r="16" spans="1:5" s="1" customFormat="1" ht="12.75">
      <c r="A16" s="58"/>
      <c r="B16" s="5"/>
      <c r="C16" s="55"/>
      <c r="D16" s="123"/>
      <c r="E16" s="7"/>
    </row>
    <row r="17" spans="1:5" s="1" customFormat="1" ht="12.75">
      <c r="A17" s="58"/>
      <c r="B17" s="5"/>
      <c r="C17" s="55"/>
      <c r="D17" s="123"/>
      <c r="E17" s="7"/>
    </row>
    <row r="18" spans="1:5" s="1" customFormat="1" ht="12.75">
      <c r="A18" s="58"/>
      <c r="B18" s="5"/>
      <c r="C18" s="55"/>
      <c r="D18" s="121"/>
      <c r="E18" s="7"/>
    </row>
    <row r="19" spans="1:5" s="1" customFormat="1" ht="12.75">
      <c r="A19" s="58"/>
      <c r="B19" s="5"/>
      <c r="C19" s="55"/>
      <c r="D19" s="121"/>
      <c r="E19" s="7"/>
    </row>
    <row r="20" spans="1:5" s="1" customFormat="1" ht="12.75">
      <c r="A20" s="58"/>
      <c r="B20" s="5"/>
      <c r="C20" s="55"/>
      <c r="D20" s="123"/>
      <c r="E20" s="7"/>
    </row>
    <row r="21" spans="1:5" s="1" customFormat="1" ht="12.75">
      <c r="A21" s="5"/>
      <c r="B21" s="5"/>
      <c r="C21" s="55"/>
      <c r="D21" s="121"/>
      <c r="E21" s="7"/>
    </row>
    <row r="22" spans="1:5" s="1" customFormat="1" ht="13.5" thickBot="1">
      <c r="A22" s="6"/>
      <c r="B22" s="6"/>
      <c r="C22" s="56"/>
      <c r="D22" s="56"/>
      <c r="E22" s="7"/>
    </row>
    <row r="23" spans="1:5" s="1" customFormat="1" ht="13.5" thickBot="1">
      <c r="A23" s="64" t="s">
        <v>47</v>
      </c>
      <c r="B23" s="64">
        <f>SUM(B15:B22)</f>
        <v>0</v>
      </c>
      <c r="C23" s="65"/>
      <c r="D23" s="65"/>
      <c r="E23" s="7"/>
    </row>
    <row r="24" spans="1:5" s="1" customFormat="1" ht="12" thickBot="1">
      <c r="A24" s="66"/>
      <c r="B24" s="66"/>
      <c r="C24" s="66"/>
      <c r="D24" s="114"/>
      <c r="E24" s="7"/>
    </row>
    <row r="25" spans="1:5" s="2" customFormat="1" ht="30" customHeight="1" thickBot="1">
      <c r="A25" s="59" t="s">
        <v>41</v>
      </c>
      <c r="B25" s="60" t="s">
        <v>50</v>
      </c>
      <c r="C25" s="61"/>
      <c r="D25" s="61"/>
      <c r="E25" s="33"/>
    </row>
    <row r="26" spans="1:5" s="2" customFormat="1" ht="30" customHeight="1" thickBot="1">
      <c r="A26" s="62" t="s">
        <v>43</v>
      </c>
      <c r="B26" s="63" t="s">
        <v>49</v>
      </c>
      <c r="C26" s="62" t="s">
        <v>45</v>
      </c>
      <c r="D26" s="62" t="s">
        <v>46</v>
      </c>
      <c r="E26" s="33"/>
    </row>
    <row r="27" spans="1:5" s="1" customFormat="1" ht="12.75">
      <c r="A27" s="58"/>
      <c r="B27" s="5"/>
      <c r="C27" s="111"/>
      <c r="D27" s="121"/>
      <c r="E27" s="7"/>
    </row>
    <row r="28" spans="1:5" s="1" customFormat="1" ht="12.75">
      <c r="A28" s="58"/>
      <c r="B28" s="5"/>
      <c r="C28" s="55"/>
      <c r="D28" s="123"/>
      <c r="E28" s="7"/>
    </row>
    <row r="29" spans="1:5" s="1" customFormat="1" ht="12.75">
      <c r="A29" s="58"/>
      <c r="B29" s="5"/>
      <c r="C29" s="55"/>
      <c r="D29" s="121"/>
      <c r="E29" s="7"/>
    </row>
    <row r="30" spans="1:5" s="1" customFormat="1" ht="12.75">
      <c r="A30" s="5"/>
      <c r="B30" s="5"/>
      <c r="C30" s="55"/>
      <c r="D30" s="126"/>
      <c r="E30" s="7"/>
    </row>
    <row r="31" spans="1:5" s="1" customFormat="1" ht="12.75">
      <c r="A31" s="5"/>
      <c r="B31" s="5"/>
      <c r="C31" s="55"/>
      <c r="D31" s="126"/>
      <c r="E31" s="7"/>
    </row>
    <row r="32" spans="1:5" s="1" customFormat="1" ht="12.75">
      <c r="A32" s="5"/>
      <c r="B32" s="5"/>
      <c r="C32" s="55"/>
      <c r="D32" s="127"/>
      <c r="E32" s="7"/>
    </row>
    <row r="33" spans="1:5" s="1" customFormat="1" ht="12.75">
      <c r="A33" s="5"/>
      <c r="B33" s="5"/>
      <c r="C33" s="128"/>
      <c r="D33" s="123"/>
      <c r="E33" s="7"/>
    </row>
    <row r="34" spans="1:5" s="1" customFormat="1" ht="13.5" thickBot="1">
      <c r="A34" s="5"/>
      <c r="B34" s="5"/>
      <c r="C34" s="55"/>
      <c r="D34" s="123"/>
      <c r="E34" s="7"/>
    </row>
    <row r="35" spans="1:5" s="1" customFormat="1" ht="13.5" thickBot="1">
      <c r="A35" s="64" t="s">
        <v>47</v>
      </c>
      <c r="B35" s="64">
        <f>SUM(B27:B34)</f>
        <v>0</v>
      </c>
      <c r="C35" s="65"/>
      <c r="D35" s="65"/>
      <c r="E35" s="7"/>
    </row>
    <row r="36" spans="1:5" s="1" customFormat="1" ht="12" thickBot="1">
      <c r="A36" s="66"/>
      <c r="B36" s="66"/>
      <c r="C36" s="66"/>
      <c r="D36" s="114"/>
      <c r="E36" s="7"/>
    </row>
    <row r="37" spans="1:5" s="2" customFormat="1" ht="30" customHeight="1" thickBot="1">
      <c r="A37" s="59" t="s">
        <v>41</v>
      </c>
      <c r="B37" s="60" t="s">
        <v>51</v>
      </c>
      <c r="C37" s="61"/>
      <c r="D37" s="61"/>
      <c r="E37" s="33"/>
    </row>
    <row r="38" spans="1:5" s="2" customFormat="1" ht="30" customHeight="1" thickBot="1">
      <c r="A38" s="62" t="s">
        <v>43</v>
      </c>
      <c r="B38" s="63" t="s">
        <v>49</v>
      </c>
      <c r="C38" s="62" t="s">
        <v>45</v>
      </c>
      <c r="D38" s="62" t="s">
        <v>46</v>
      </c>
      <c r="E38" s="33"/>
    </row>
    <row r="39" spans="1:5" s="1" customFormat="1" ht="12.75">
      <c r="A39" s="57"/>
      <c r="B39" s="4"/>
      <c r="C39" s="119"/>
      <c r="D39" s="129"/>
      <c r="E39" s="7"/>
    </row>
    <row r="40" spans="1:5" s="1" customFormat="1" ht="12.75">
      <c r="A40" s="58"/>
      <c r="B40" s="5"/>
      <c r="C40" s="111"/>
      <c r="D40" s="129"/>
      <c r="E40" s="7"/>
    </row>
    <row r="41" spans="1:5" s="1" customFormat="1" ht="12.75">
      <c r="A41" s="58"/>
      <c r="B41" s="5"/>
      <c r="C41" s="111"/>
      <c r="D41" s="129"/>
      <c r="E41" s="7"/>
    </row>
    <row r="42" spans="1:5" s="1" customFormat="1" ht="12.75">
      <c r="A42" s="5"/>
      <c r="B42" s="5"/>
      <c r="C42" s="55"/>
      <c r="D42" s="121"/>
      <c r="E42" s="7"/>
    </row>
    <row r="43" spans="1:5" s="1" customFormat="1" ht="12.75">
      <c r="A43" s="58"/>
      <c r="B43" s="5"/>
      <c r="C43" s="55"/>
      <c r="D43" s="121"/>
      <c r="E43" s="7"/>
    </row>
    <row r="44" spans="1:5" s="1" customFormat="1" ht="13.5" customHeight="1">
      <c r="A44" s="5"/>
      <c r="B44" s="5"/>
      <c r="C44" s="55"/>
      <c r="D44" s="99"/>
      <c r="E44" s="7"/>
    </row>
    <row r="45" spans="1:5" s="1" customFormat="1" ht="12.75">
      <c r="A45" s="5"/>
      <c r="B45" s="5"/>
      <c r="C45" s="55"/>
      <c r="D45" s="99"/>
      <c r="E45" s="7"/>
    </row>
    <row r="46" spans="1:5" s="1" customFormat="1" ht="12.75">
      <c r="A46" s="5"/>
      <c r="B46" s="5"/>
      <c r="C46" s="55"/>
      <c r="D46" s="55"/>
      <c r="E46" s="7"/>
    </row>
    <row r="47" spans="1:5" s="1" customFormat="1" ht="13.5" thickBot="1">
      <c r="A47" s="6"/>
      <c r="B47" s="6"/>
      <c r="C47" s="56"/>
      <c r="D47" s="56"/>
      <c r="E47" s="7"/>
    </row>
    <row r="48" spans="1:5" s="1" customFormat="1" ht="13.5" thickBot="1">
      <c r="A48" s="64" t="s">
        <v>47</v>
      </c>
      <c r="B48" s="64">
        <f>SUM(B39:B47)</f>
        <v>0</v>
      </c>
      <c r="C48" s="65"/>
      <c r="D48" s="65"/>
      <c r="E48" s="7"/>
    </row>
    <row r="49" spans="1:5" s="1" customFormat="1" ht="12" thickBot="1">
      <c r="A49" s="66"/>
      <c r="B49" s="66"/>
      <c r="C49" s="66"/>
      <c r="D49" s="114"/>
      <c r="E49" s="7"/>
    </row>
    <row r="50" spans="1:5" s="2" customFormat="1" ht="30" customHeight="1" thickBot="1">
      <c r="A50" s="59" t="s">
        <v>41</v>
      </c>
      <c r="B50" s="60" t="s">
        <v>52</v>
      </c>
      <c r="C50" s="61"/>
      <c r="D50" s="61"/>
      <c r="E50" s="33"/>
    </row>
    <row r="51" spans="1:5" s="2" customFormat="1" ht="30" customHeight="1" thickBot="1">
      <c r="A51" s="62" t="s">
        <v>43</v>
      </c>
      <c r="B51" s="63" t="s">
        <v>49</v>
      </c>
      <c r="C51" s="62" t="s">
        <v>45</v>
      </c>
      <c r="D51" s="62" t="s">
        <v>46</v>
      </c>
      <c r="E51" s="33"/>
    </row>
    <row r="52" spans="1:5" s="1" customFormat="1" ht="12.75">
      <c r="A52" s="58"/>
      <c r="B52" s="5"/>
      <c r="C52" s="55"/>
      <c r="D52" s="121"/>
      <c r="E52" s="7"/>
    </row>
    <row r="53" spans="1:5" s="1" customFormat="1" ht="12.75">
      <c r="A53" s="58"/>
      <c r="B53" s="5"/>
      <c r="C53" s="55"/>
      <c r="D53" s="99"/>
      <c r="E53" s="7"/>
    </row>
    <row r="54" spans="1:5" s="1" customFormat="1" ht="12.75">
      <c r="A54" s="5"/>
      <c r="B54" s="5"/>
      <c r="C54" s="55"/>
      <c r="D54" s="99"/>
      <c r="E54" s="7"/>
    </row>
    <row r="55" spans="1:5" s="1" customFormat="1" ht="12.75">
      <c r="A55" s="58"/>
      <c r="B55" s="5"/>
      <c r="C55" s="109"/>
      <c r="D55" s="123"/>
      <c r="E55" s="7"/>
    </row>
    <row r="56" spans="1:5" s="1" customFormat="1" ht="12.75">
      <c r="A56" s="5"/>
      <c r="B56" s="5"/>
      <c r="C56" s="110"/>
      <c r="D56" s="121"/>
      <c r="E56" s="7"/>
    </row>
    <row r="57" spans="1:5" s="1" customFormat="1" ht="12.75">
      <c r="A57" s="5"/>
      <c r="B57" s="5"/>
      <c r="C57" s="55"/>
      <c r="D57" s="123"/>
      <c r="E57" s="7"/>
    </row>
    <row r="58" spans="1:5" s="1" customFormat="1" ht="12.75">
      <c r="A58" s="5"/>
      <c r="B58" s="5"/>
      <c r="C58" s="55"/>
      <c r="D58" s="121"/>
      <c r="E58" s="7"/>
    </row>
    <row r="59" spans="1:5" s="1" customFormat="1" ht="13.5" thickBot="1">
      <c r="A59" s="6"/>
      <c r="B59" s="6"/>
      <c r="C59" s="56"/>
      <c r="D59" s="56"/>
      <c r="E59" s="7"/>
    </row>
    <row r="60" spans="1:5" s="1" customFormat="1" ht="13.5" thickBot="1">
      <c r="A60" s="64" t="s">
        <v>47</v>
      </c>
      <c r="B60" s="64">
        <f>SUM(B52:B59)</f>
        <v>0</v>
      </c>
      <c r="C60" s="65"/>
      <c r="D60" s="65"/>
      <c r="E60" s="7"/>
    </row>
    <row r="61" spans="1:5" s="1" customFormat="1" ht="12" thickBot="1">
      <c r="A61" s="66"/>
      <c r="B61" s="66"/>
      <c r="C61" s="66"/>
      <c r="D61" s="114"/>
      <c r="E61" s="7"/>
    </row>
    <row r="62" spans="1:5" s="2" customFormat="1" ht="30" customHeight="1" thickBot="1">
      <c r="A62" s="59" t="s">
        <v>41</v>
      </c>
      <c r="B62" s="60" t="s">
        <v>53</v>
      </c>
      <c r="C62" s="61"/>
      <c r="D62" s="61"/>
      <c r="E62" s="33"/>
    </row>
    <row r="63" spans="1:5" s="2" customFormat="1" ht="30" customHeight="1" thickBot="1">
      <c r="A63" s="62" t="s">
        <v>43</v>
      </c>
      <c r="B63" s="63" t="s">
        <v>49</v>
      </c>
      <c r="C63" s="62" t="s">
        <v>45</v>
      </c>
      <c r="D63" s="62" t="s">
        <v>46</v>
      </c>
      <c r="E63" s="33"/>
    </row>
    <row r="64" spans="1:5" s="2" customFormat="1" ht="12.75">
      <c r="A64" s="58"/>
      <c r="B64" s="5"/>
      <c r="C64" s="55"/>
      <c r="D64" s="121"/>
      <c r="E64" s="33"/>
    </row>
    <row r="65" spans="1:5" s="1" customFormat="1" ht="12.75">
      <c r="A65" s="58"/>
      <c r="B65" s="5"/>
      <c r="C65" s="55"/>
      <c r="D65" s="121"/>
      <c r="E65" s="7"/>
    </row>
    <row r="66" spans="1:5" s="1" customFormat="1" ht="12.75">
      <c r="A66" s="58"/>
      <c r="B66" s="5"/>
      <c r="C66" s="55"/>
      <c r="D66" s="123"/>
      <c r="E66" s="7"/>
    </row>
    <row r="67" spans="1:5" s="1" customFormat="1" ht="13.5" customHeight="1">
      <c r="A67" s="58"/>
      <c r="B67" s="5"/>
      <c r="C67" s="101"/>
      <c r="D67" s="123"/>
      <c r="E67" s="7"/>
    </row>
    <row r="68" spans="1:5" s="1" customFormat="1" ht="12.75">
      <c r="A68" s="58"/>
      <c r="B68" s="5"/>
      <c r="C68" s="55"/>
      <c r="D68" s="121"/>
      <c r="E68" s="7"/>
    </row>
    <row r="69" spans="1:5" s="1" customFormat="1" ht="12.75">
      <c r="A69" s="5"/>
      <c r="B69" s="5"/>
      <c r="C69" s="55"/>
      <c r="D69" s="99"/>
      <c r="E69" s="7"/>
    </row>
    <row r="70" spans="1:5" s="1" customFormat="1" ht="12.75">
      <c r="A70" s="5"/>
      <c r="B70" s="5"/>
      <c r="C70" s="55"/>
      <c r="D70" s="99"/>
      <c r="E70" s="7"/>
    </row>
    <row r="71" spans="1:5" s="1" customFormat="1" ht="13.5" thickBot="1">
      <c r="A71" s="6"/>
      <c r="B71" s="6"/>
      <c r="C71" s="56"/>
      <c r="D71" s="56"/>
      <c r="E71" s="7"/>
    </row>
    <row r="72" spans="1:5" s="1" customFormat="1" ht="13.5" thickBot="1">
      <c r="A72" s="64" t="s">
        <v>47</v>
      </c>
      <c r="B72" s="64">
        <f>SUM(B64:B71)</f>
        <v>0</v>
      </c>
      <c r="C72" s="65"/>
      <c r="D72" s="65"/>
      <c r="E72" s="7"/>
    </row>
    <row r="73" spans="1:5" s="1" customFormat="1" ht="12" thickBot="1">
      <c r="A73" s="66"/>
      <c r="B73" s="66"/>
      <c r="C73" s="66"/>
      <c r="D73" s="114"/>
      <c r="E73" s="7"/>
    </row>
    <row r="74" spans="1:5" s="2" customFormat="1" ht="30" customHeight="1" thickBot="1">
      <c r="A74" s="59" t="s">
        <v>41</v>
      </c>
      <c r="B74" s="60" t="s">
        <v>54</v>
      </c>
      <c r="C74" s="61"/>
      <c r="D74" s="61"/>
      <c r="E74" s="33"/>
    </row>
    <row r="75" spans="1:5" s="2" customFormat="1" ht="30" customHeight="1" thickBot="1">
      <c r="A75" s="62" t="s">
        <v>43</v>
      </c>
      <c r="B75" s="63" t="s">
        <v>49</v>
      </c>
      <c r="C75" s="62" t="s">
        <v>45</v>
      </c>
      <c r="D75" s="62" t="s">
        <v>46</v>
      </c>
      <c r="E75" s="33"/>
    </row>
    <row r="76" spans="1:5" s="1" customFormat="1" ht="12.75">
      <c r="A76" s="58"/>
      <c r="B76" s="5"/>
      <c r="C76" s="55"/>
      <c r="D76" s="123"/>
      <c r="E76" s="7"/>
    </row>
    <row r="77" spans="1:5" s="1" customFormat="1" ht="12.75">
      <c r="A77" s="58"/>
      <c r="B77" s="5"/>
      <c r="C77" s="55"/>
      <c r="D77" s="121"/>
      <c r="E77" s="7"/>
    </row>
    <row r="78" spans="1:5" s="1" customFormat="1" ht="12.75">
      <c r="A78" s="58"/>
      <c r="B78" s="5"/>
      <c r="C78" s="55"/>
      <c r="D78" s="99"/>
      <c r="E78" s="7"/>
    </row>
    <row r="79" spans="1:5" s="1" customFormat="1" ht="13.5" customHeight="1">
      <c r="A79" s="5"/>
      <c r="B79" s="5"/>
      <c r="C79" s="55"/>
      <c r="D79" s="99"/>
      <c r="E79" s="7"/>
    </row>
    <row r="80" spans="1:5" s="1" customFormat="1" ht="13.5" customHeight="1">
      <c r="A80" s="58"/>
      <c r="B80" s="5"/>
      <c r="C80" s="109"/>
      <c r="D80" s="123"/>
      <c r="E80" s="7"/>
    </row>
    <row r="81" spans="1:5" s="1" customFormat="1" ht="12.75">
      <c r="A81" s="5"/>
      <c r="B81" s="5"/>
      <c r="C81" s="55"/>
      <c r="D81" s="99"/>
      <c r="E81" s="7"/>
    </row>
    <row r="82" spans="1:5" s="1" customFormat="1" ht="12.75">
      <c r="A82" s="5"/>
      <c r="B82" s="5"/>
      <c r="C82" s="55"/>
      <c r="D82" s="123"/>
      <c r="E82" s="7"/>
    </row>
    <row r="83" spans="1:5" s="1" customFormat="1" ht="13.5" thickBot="1">
      <c r="A83" s="6"/>
      <c r="B83" s="6"/>
      <c r="C83" s="56"/>
      <c r="D83" s="56"/>
      <c r="E83" s="7"/>
    </row>
    <row r="84" spans="1:5" s="1" customFormat="1" ht="13.5" thickBot="1">
      <c r="A84" s="64" t="s">
        <v>47</v>
      </c>
      <c r="B84" s="64">
        <f>SUM(B76:B83)</f>
        <v>0</v>
      </c>
      <c r="C84" s="65"/>
      <c r="D84" s="65"/>
      <c r="E84" s="7"/>
    </row>
    <row r="85" spans="1:5" s="1" customFormat="1" ht="12" thickBot="1">
      <c r="A85" s="66"/>
      <c r="B85" s="66"/>
      <c r="C85" s="66"/>
      <c r="D85" s="114"/>
      <c r="E85" s="7"/>
    </row>
    <row r="86" spans="1:5" s="2" customFormat="1" ht="30" customHeight="1" thickBot="1">
      <c r="A86" s="59" t="s">
        <v>41</v>
      </c>
      <c r="B86" s="60" t="s">
        <v>55</v>
      </c>
      <c r="C86" s="61"/>
      <c r="D86" s="61"/>
      <c r="E86" s="33"/>
    </row>
    <row r="87" spans="1:5" s="2" customFormat="1" ht="30" customHeight="1" thickBot="1">
      <c r="A87" s="62" t="s">
        <v>43</v>
      </c>
      <c r="B87" s="63" t="s">
        <v>49</v>
      </c>
      <c r="C87" s="62" t="s">
        <v>45</v>
      </c>
      <c r="D87" s="62" t="s">
        <v>46</v>
      </c>
      <c r="E87" s="33"/>
    </row>
    <row r="88" spans="1:5" s="1" customFormat="1" ht="12.75">
      <c r="A88" s="58"/>
      <c r="B88" s="5"/>
      <c r="C88" s="55"/>
      <c r="D88" s="121"/>
      <c r="E88" s="7"/>
    </row>
    <row r="89" spans="1:5" s="1" customFormat="1" ht="12.75">
      <c r="A89" s="5"/>
      <c r="B89" s="5"/>
      <c r="C89" s="55"/>
      <c r="D89" s="129"/>
      <c r="E89" s="7"/>
    </row>
    <row r="90" spans="1:5" s="1" customFormat="1" ht="12.75">
      <c r="A90" s="5"/>
      <c r="B90" s="5"/>
      <c r="C90" s="55"/>
      <c r="D90" s="129"/>
      <c r="E90" s="7"/>
    </row>
    <row r="91" spans="1:5" s="1" customFormat="1" ht="12.75">
      <c r="A91" s="58"/>
      <c r="B91" s="5"/>
      <c r="C91" s="55"/>
      <c r="D91" s="123"/>
      <c r="E91" s="7"/>
    </row>
    <row r="92" spans="1:5" s="1" customFormat="1" ht="12.75">
      <c r="A92" s="58"/>
      <c r="B92" s="5"/>
      <c r="C92" s="55"/>
      <c r="D92" s="121"/>
      <c r="E92" s="7"/>
    </row>
    <row r="93" spans="1:5" s="1" customFormat="1" ht="12.75">
      <c r="A93" s="5"/>
      <c r="B93" s="5"/>
      <c r="C93" s="55"/>
      <c r="D93" s="121"/>
      <c r="E93" s="7"/>
    </row>
    <row r="94" spans="1:5" s="1" customFormat="1" ht="12.75">
      <c r="A94" s="5"/>
      <c r="B94" s="5"/>
      <c r="C94" s="55"/>
      <c r="D94" s="126"/>
      <c r="E94" s="7"/>
    </row>
    <row r="95" spans="1:5" s="1" customFormat="1" ht="12.75">
      <c r="A95" s="5"/>
      <c r="B95" s="5"/>
      <c r="C95" s="55"/>
      <c r="D95" s="121"/>
      <c r="E95" s="7"/>
    </row>
    <row r="96" spans="1:5" s="1" customFormat="1" ht="13.5" thickBot="1">
      <c r="A96" s="5"/>
      <c r="B96" s="5"/>
      <c r="C96" s="55"/>
      <c r="D96" s="126"/>
      <c r="E96" s="7"/>
    </row>
    <row r="97" spans="1:5" s="1" customFormat="1" ht="13.5" thickBot="1">
      <c r="A97" s="64" t="s">
        <v>47</v>
      </c>
      <c r="B97" s="64">
        <f>SUM(B88:B96)</f>
        <v>0</v>
      </c>
      <c r="C97" s="65"/>
      <c r="D97" s="65"/>
      <c r="E97" s="7"/>
    </row>
    <row r="98" spans="1:5" s="1" customFormat="1" ht="12" thickBot="1">
      <c r="A98" s="66"/>
      <c r="B98" s="66"/>
      <c r="C98" s="66"/>
      <c r="D98" s="114"/>
      <c r="E98" s="7"/>
    </row>
    <row r="99" spans="1:5" s="2" customFormat="1" ht="30" customHeight="1" thickBot="1">
      <c r="A99" s="59" t="s">
        <v>41</v>
      </c>
      <c r="B99" s="60" t="s">
        <v>56</v>
      </c>
      <c r="C99" s="61"/>
      <c r="D99" s="61"/>
      <c r="E99" s="33"/>
    </row>
    <row r="100" spans="1:5" s="2" customFormat="1" ht="30" customHeight="1" thickBot="1">
      <c r="A100" s="62" t="s">
        <v>43</v>
      </c>
      <c r="B100" s="63" t="s">
        <v>49</v>
      </c>
      <c r="C100" s="62" t="s">
        <v>45</v>
      </c>
      <c r="D100" s="62" t="s">
        <v>46</v>
      </c>
      <c r="E100" s="33"/>
    </row>
    <row r="101" spans="1:5" s="1" customFormat="1" ht="12.75">
      <c r="A101" s="5"/>
      <c r="B101" s="5"/>
      <c r="C101" s="55"/>
      <c r="D101" s="129"/>
      <c r="E101" s="7"/>
    </row>
    <row r="102" spans="1:5" s="1" customFormat="1" ht="12.75">
      <c r="A102" s="58"/>
      <c r="B102" s="5"/>
      <c r="C102" s="55"/>
      <c r="D102" s="129"/>
      <c r="E102" s="7"/>
    </row>
    <row r="103" spans="1:5" s="1" customFormat="1" ht="12.75">
      <c r="A103" s="58"/>
      <c r="B103" s="5"/>
      <c r="C103" s="55"/>
      <c r="D103" s="121"/>
      <c r="E103" s="7"/>
    </row>
    <row r="104" spans="1:5" s="1" customFormat="1" ht="12.75">
      <c r="A104" s="5"/>
      <c r="B104" s="5"/>
      <c r="C104" s="55"/>
      <c r="D104" s="124"/>
      <c r="E104" s="7"/>
    </row>
    <row r="105" spans="1:5" s="1" customFormat="1" ht="14.25" customHeight="1">
      <c r="A105" s="104"/>
      <c r="B105" s="105"/>
      <c r="C105" s="106"/>
      <c r="D105" s="121"/>
      <c r="E105" s="7"/>
    </row>
    <row r="106" spans="1:5" s="1" customFormat="1" ht="12.75">
      <c r="A106" s="5"/>
      <c r="B106" s="5"/>
      <c r="C106" s="55"/>
      <c r="D106" s="126"/>
      <c r="E106" s="7"/>
    </row>
    <row r="107" spans="1:5" s="1" customFormat="1" ht="12.75">
      <c r="A107" s="5"/>
      <c r="B107" s="5"/>
      <c r="C107" s="98"/>
      <c r="D107" s="121"/>
      <c r="E107" s="7"/>
    </row>
    <row r="108" spans="1:5" s="1" customFormat="1" ht="13.5" thickBot="1">
      <c r="A108" s="6"/>
      <c r="B108" s="6"/>
      <c r="C108" s="55"/>
      <c r="D108" s="126"/>
      <c r="E108" s="7"/>
    </row>
    <row r="109" spans="1:5" s="1" customFormat="1" ht="13.5" thickBot="1">
      <c r="A109" s="64" t="s">
        <v>47</v>
      </c>
      <c r="B109" s="64">
        <f>SUM(B101:B108)</f>
        <v>0</v>
      </c>
      <c r="C109" s="65"/>
      <c r="D109" s="65"/>
      <c r="E109" s="7"/>
    </row>
    <row r="110" spans="1:5" s="1" customFormat="1" ht="12" thickBot="1">
      <c r="A110" s="66"/>
      <c r="B110" s="66"/>
      <c r="C110" s="66"/>
      <c r="D110" s="114"/>
      <c r="E110" s="7"/>
    </row>
    <row r="111" spans="1:5" s="2" customFormat="1" ht="30" customHeight="1" thickBot="1">
      <c r="A111" s="59" t="s">
        <v>41</v>
      </c>
      <c r="B111" s="60" t="s">
        <v>57</v>
      </c>
      <c r="C111" s="61"/>
      <c r="D111" s="61"/>
      <c r="E111" s="33"/>
    </row>
    <row r="112" spans="1:5" s="2" customFormat="1" ht="30" customHeight="1" thickBot="1">
      <c r="A112" s="62" t="s">
        <v>43</v>
      </c>
      <c r="B112" s="63" t="s">
        <v>49</v>
      </c>
      <c r="C112" s="62" t="s">
        <v>45</v>
      </c>
      <c r="D112" s="62" t="s">
        <v>46</v>
      </c>
      <c r="E112" s="33"/>
    </row>
    <row r="113" spans="1:5" s="1" customFormat="1" ht="12.75">
      <c r="A113" s="5"/>
      <c r="B113" s="5"/>
      <c r="C113" s="55"/>
      <c r="D113" s="124"/>
      <c r="E113" s="7"/>
    </row>
    <row r="114" spans="1:5" s="1" customFormat="1" ht="12.75">
      <c r="A114" s="5"/>
      <c r="B114" s="5"/>
      <c r="C114" s="55"/>
      <c r="D114" s="121"/>
      <c r="E114" s="7"/>
    </row>
    <row r="115" spans="1:5" s="1" customFormat="1" ht="12.75">
      <c r="A115" s="5"/>
      <c r="B115" s="5"/>
      <c r="C115" s="55"/>
      <c r="D115" s="123"/>
      <c r="E115" s="7"/>
    </row>
    <row r="116" spans="1:5" s="1" customFormat="1" ht="12.75">
      <c r="A116" s="58"/>
      <c r="B116" s="5"/>
      <c r="C116" s="55"/>
      <c r="D116" s="121"/>
      <c r="E116" s="7"/>
    </row>
    <row r="117" spans="1:5" s="1" customFormat="1" ht="12.75">
      <c r="A117" s="5"/>
      <c r="B117" s="5"/>
      <c r="C117" s="55"/>
      <c r="D117" s="121"/>
      <c r="E117" s="7"/>
    </row>
    <row r="118" spans="1:5" s="1" customFormat="1" ht="12.75">
      <c r="A118" s="5"/>
      <c r="B118" s="5"/>
      <c r="C118" s="55"/>
      <c r="D118" s="126"/>
      <c r="E118" s="7"/>
    </row>
    <row r="119" spans="1:5" s="1" customFormat="1" ht="12.75">
      <c r="A119" s="102"/>
      <c r="B119" s="102"/>
      <c r="C119" s="98"/>
      <c r="D119" s="121"/>
      <c r="E119" s="7"/>
    </row>
    <row r="120" spans="1:5" s="1" customFormat="1" ht="13.5" thickBot="1">
      <c r="A120" s="6"/>
      <c r="B120" s="6"/>
      <c r="C120" s="56"/>
      <c r="D120" s="126"/>
      <c r="E120" s="7"/>
    </row>
    <row r="121" spans="1:5" s="1" customFormat="1" ht="13.5" thickBot="1">
      <c r="A121" s="64" t="s">
        <v>47</v>
      </c>
      <c r="B121" s="64">
        <f>SUM(B113:B120)</f>
        <v>0</v>
      </c>
      <c r="C121" s="65"/>
      <c r="D121" s="65"/>
      <c r="E121" s="7"/>
    </row>
    <row r="122" spans="1:5" s="1" customFormat="1" ht="12" thickBot="1">
      <c r="A122" s="66"/>
      <c r="B122" s="66"/>
      <c r="C122" s="66"/>
      <c r="D122" s="114"/>
      <c r="E122" s="7"/>
    </row>
    <row r="123" spans="1:5" s="2" customFormat="1" ht="30" customHeight="1" thickBot="1">
      <c r="A123" s="59" t="s">
        <v>41</v>
      </c>
      <c r="B123" s="60" t="s">
        <v>58</v>
      </c>
      <c r="C123" s="61"/>
      <c r="D123" s="61"/>
      <c r="E123" s="33"/>
    </row>
    <row r="124" spans="1:5" s="2" customFormat="1" ht="30" customHeight="1" thickBot="1">
      <c r="A124" s="62" t="s">
        <v>43</v>
      </c>
      <c r="B124" s="63" t="s">
        <v>49</v>
      </c>
      <c r="C124" s="62" t="s">
        <v>45</v>
      </c>
      <c r="D124" s="62" t="s">
        <v>46</v>
      </c>
      <c r="E124" s="33"/>
    </row>
    <row r="125" spans="1:5" s="1" customFormat="1" ht="12.75">
      <c r="A125" s="57"/>
      <c r="B125" s="4"/>
      <c r="C125" s="54"/>
      <c r="D125" s="120"/>
      <c r="E125" s="7"/>
    </row>
    <row r="126" spans="1:5" s="1" customFormat="1" ht="12.75">
      <c r="A126" s="112"/>
      <c r="B126" s="113"/>
      <c r="C126" s="111"/>
      <c r="D126" s="129"/>
      <c r="E126" s="7"/>
    </row>
    <row r="127" spans="1:5" s="1" customFormat="1" ht="12.75">
      <c r="A127" s="58"/>
      <c r="B127" s="5"/>
      <c r="C127" s="55"/>
      <c r="D127" s="121"/>
      <c r="E127" s="7"/>
    </row>
    <row r="128" spans="1:5" s="1" customFormat="1" ht="12.75">
      <c r="A128" s="5"/>
      <c r="B128" s="5"/>
      <c r="C128" s="55"/>
      <c r="D128" s="121"/>
      <c r="E128" s="7"/>
    </row>
    <row r="129" spans="1:5" s="1" customFormat="1" ht="12.75">
      <c r="A129" s="5"/>
      <c r="B129" s="5"/>
      <c r="C129" s="55"/>
      <c r="D129" s="126"/>
      <c r="E129" s="7"/>
    </row>
    <row r="130" spans="1:5" s="1" customFormat="1" ht="12.75">
      <c r="A130" s="102"/>
      <c r="B130" s="102"/>
      <c r="C130" s="98"/>
      <c r="D130" s="121"/>
      <c r="E130" s="7"/>
    </row>
    <row r="131" spans="1:5" s="1" customFormat="1" ht="12.75">
      <c r="A131" s="102"/>
      <c r="B131" s="102"/>
      <c r="C131" s="103"/>
      <c r="D131" s="126"/>
      <c r="E131" s="7"/>
    </row>
    <row r="132" spans="1:5" s="1" customFormat="1" ht="13.5" thickBot="1">
      <c r="A132" s="6"/>
      <c r="B132" s="6"/>
      <c r="C132" s="56"/>
      <c r="D132" s="56"/>
      <c r="E132" s="7"/>
    </row>
    <row r="133" spans="1:5" s="1" customFormat="1" ht="13.5" thickBot="1">
      <c r="A133" s="64" t="s">
        <v>47</v>
      </c>
      <c r="B133" s="64">
        <f>SUM(B125:B132)</f>
        <v>0</v>
      </c>
      <c r="C133" s="65"/>
      <c r="D133" s="65"/>
      <c r="E133" s="7"/>
    </row>
    <row r="134" spans="1:5" s="1" customFormat="1" ht="12" thickBot="1">
      <c r="A134" s="66"/>
      <c r="B134" s="66"/>
      <c r="C134" s="66"/>
      <c r="D134" s="114"/>
      <c r="E134" s="7"/>
    </row>
    <row r="135" spans="1:5" s="2" customFormat="1" ht="30" customHeight="1" thickBot="1">
      <c r="A135" s="59" t="s">
        <v>41</v>
      </c>
      <c r="B135" s="60" t="s">
        <v>59</v>
      </c>
      <c r="C135" s="61"/>
      <c r="D135" s="61"/>
      <c r="E135" s="33"/>
    </row>
    <row r="136" spans="1:5" s="2" customFormat="1" ht="30" customHeight="1" thickBot="1">
      <c r="A136" s="62" t="s">
        <v>43</v>
      </c>
      <c r="B136" s="63" t="s">
        <v>49</v>
      </c>
      <c r="C136" s="62" t="s">
        <v>45</v>
      </c>
      <c r="D136" s="62" t="s">
        <v>46</v>
      </c>
      <c r="E136" s="33"/>
    </row>
    <row r="137" spans="1:5" s="1" customFormat="1" ht="12.75">
      <c r="A137" s="57"/>
      <c r="B137" s="4"/>
      <c r="C137" s="54"/>
      <c r="D137" s="120"/>
      <c r="E137" s="7"/>
    </row>
    <row r="138" spans="1:5" s="1" customFormat="1" ht="12.75">
      <c r="A138" s="112"/>
      <c r="B138" s="113"/>
      <c r="C138" s="111"/>
      <c r="D138" s="129"/>
      <c r="E138" s="7"/>
    </row>
    <row r="139" spans="1:5" s="1" customFormat="1" ht="12.75">
      <c r="A139" s="58"/>
      <c r="B139" s="5"/>
      <c r="C139" s="55"/>
      <c r="D139" s="121"/>
      <c r="E139" s="7"/>
    </row>
    <row r="140" spans="1:5" s="1" customFormat="1" ht="13.5" customHeight="1">
      <c r="A140" s="58"/>
      <c r="B140" s="5"/>
      <c r="C140" s="101"/>
      <c r="D140" s="121"/>
      <c r="E140" s="7"/>
    </row>
    <row r="141" spans="1:5" s="1" customFormat="1" ht="12.75">
      <c r="A141" s="5"/>
      <c r="B141" s="5"/>
      <c r="C141" s="55"/>
      <c r="D141" s="121"/>
      <c r="E141" s="7"/>
    </row>
    <row r="142" spans="1:5" s="1" customFormat="1" ht="12.75">
      <c r="A142" s="5"/>
      <c r="B142" s="5"/>
      <c r="C142" s="98"/>
      <c r="D142" s="126"/>
      <c r="E142" s="7"/>
    </row>
    <row r="143" spans="1:5" s="1" customFormat="1" ht="12.75">
      <c r="A143" s="5"/>
      <c r="B143" s="5"/>
      <c r="C143" s="55"/>
      <c r="D143" s="121"/>
      <c r="E143" s="7"/>
    </row>
    <row r="144" spans="1:5" s="1" customFormat="1" ht="13.5" thickBot="1">
      <c r="A144" s="5"/>
      <c r="B144" s="5"/>
      <c r="C144" s="55"/>
      <c r="D144" s="126"/>
      <c r="E144" s="7"/>
    </row>
    <row r="145" spans="1:5" s="1" customFormat="1" ht="13.5" thickBot="1">
      <c r="A145" s="64" t="s">
        <v>47</v>
      </c>
      <c r="B145" s="64">
        <f>SUM(B137:B144)</f>
        <v>0</v>
      </c>
      <c r="C145" s="65"/>
      <c r="D145" s="65"/>
      <c r="E145" s="7"/>
    </row>
    <row r="146" spans="1:5" s="1" customFormat="1" ht="12" thickBot="1">
      <c r="A146" s="66"/>
      <c r="B146" s="66"/>
      <c r="C146" s="66"/>
      <c r="D146" s="114"/>
      <c r="E146" s="7"/>
    </row>
    <row r="147" spans="1:5" s="2" customFormat="1" ht="30" customHeight="1" thickBot="1">
      <c r="A147" s="59" t="s">
        <v>41</v>
      </c>
      <c r="B147" s="60" t="s">
        <v>60</v>
      </c>
      <c r="C147" s="61"/>
      <c r="D147" s="61"/>
      <c r="E147" s="33"/>
    </row>
    <row r="148" spans="1:5" s="2" customFormat="1" ht="30" customHeight="1" thickBot="1">
      <c r="A148" s="62" t="s">
        <v>43</v>
      </c>
      <c r="B148" s="63" t="s">
        <v>49</v>
      </c>
      <c r="C148" s="62" t="s">
        <v>45</v>
      </c>
      <c r="D148" s="62" t="s">
        <v>46</v>
      </c>
      <c r="E148" s="33"/>
    </row>
    <row r="149" spans="1:5" s="1" customFormat="1" ht="12.75">
      <c r="A149" s="58"/>
      <c r="B149" s="5"/>
      <c r="C149" s="55"/>
      <c r="D149" s="121"/>
      <c r="E149" s="7"/>
    </row>
    <row r="150" spans="1:5" s="1" customFormat="1" ht="12.75">
      <c r="A150" s="5"/>
      <c r="B150" s="5"/>
      <c r="C150" s="55"/>
      <c r="D150" s="121"/>
      <c r="E150" s="7"/>
    </row>
    <row r="151" spans="1:5" s="1" customFormat="1" ht="12.75">
      <c r="A151" s="58"/>
      <c r="B151" s="5"/>
      <c r="C151" s="55"/>
      <c r="D151" s="121"/>
      <c r="E151" s="7"/>
    </row>
    <row r="152" spans="1:5" s="1" customFormat="1" ht="12.75">
      <c r="A152" s="5"/>
      <c r="B152" s="5"/>
      <c r="C152" s="55"/>
      <c r="D152" s="126"/>
      <c r="E152" s="7"/>
    </row>
    <row r="153" spans="1:5" s="1" customFormat="1" ht="12.75">
      <c r="A153" s="5"/>
      <c r="B153" s="5"/>
      <c r="C153" s="55"/>
      <c r="D153" s="121"/>
      <c r="E153" s="7"/>
    </row>
    <row r="154" spans="1:5" s="1" customFormat="1" ht="12.75">
      <c r="A154" s="5"/>
      <c r="B154" s="5"/>
      <c r="C154" s="55"/>
      <c r="D154" s="126"/>
      <c r="E154" s="7"/>
    </row>
    <row r="155" spans="1:5" s="1" customFormat="1" ht="12.75">
      <c r="A155" s="5"/>
      <c r="B155" s="5"/>
      <c r="C155" s="55"/>
      <c r="D155" s="55"/>
      <c r="E155" s="7"/>
    </row>
    <row r="156" spans="1:5" s="1" customFormat="1" ht="13.5" thickBot="1">
      <c r="A156" s="6"/>
      <c r="B156" s="6"/>
      <c r="C156" s="56"/>
      <c r="D156" s="56"/>
      <c r="E156" s="7"/>
    </row>
    <row r="157" spans="1:5" s="1" customFormat="1" ht="13.5" thickBot="1">
      <c r="A157" s="64" t="s">
        <v>47</v>
      </c>
      <c r="B157" s="64">
        <f>SUM(B149:B156)</f>
        <v>0</v>
      </c>
      <c r="C157" s="65"/>
      <c r="D157" s="65"/>
      <c r="E157" s="7"/>
    </row>
    <row r="158" spans="1:5" s="1" customFormat="1" ht="12" thickBot="1">
      <c r="A158" s="66"/>
      <c r="B158" s="66"/>
      <c r="C158" s="66"/>
      <c r="D158" s="114"/>
      <c r="E158" s="7"/>
    </row>
    <row r="159" spans="1:5" s="2" customFormat="1" ht="30" customHeight="1" thickBot="1">
      <c r="A159" s="59" t="s">
        <v>41</v>
      </c>
      <c r="B159" s="60" t="s">
        <v>61</v>
      </c>
      <c r="C159" s="61"/>
      <c r="D159" s="61"/>
      <c r="E159" s="33"/>
    </row>
    <row r="160" spans="1:5" s="2" customFormat="1" ht="30" customHeight="1" thickBot="1">
      <c r="A160" s="62" t="s">
        <v>43</v>
      </c>
      <c r="B160" s="63" t="s">
        <v>49</v>
      </c>
      <c r="C160" s="62" t="s">
        <v>45</v>
      </c>
      <c r="D160" s="62" t="s">
        <v>46</v>
      </c>
      <c r="E160" s="33"/>
    </row>
    <row r="161" spans="1:5" s="1" customFormat="1" ht="12.75">
      <c r="A161" s="57"/>
      <c r="B161" s="4"/>
      <c r="C161" s="54"/>
      <c r="D161" s="121"/>
      <c r="E161" s="7"/>
    </row>
    <row r="162" spans="1:5" s="1" customFormat="1" ht="12.75">
      <c r="A162" s="58"/>
      <c r="B162" s="5"/>
      <c r="C162" s="111"/>
      <c r="D162" s="99"/>
      <c r="E162" s="7"/>
    </row>
    <row r="163" spans="1:5" s="1" customFormat="1" ht="12.75">
      <c r="A163" s="58"/>
      <c r="B163" s="5"/>
      <c r="C163" s="55"/>
      <c r="D163" s="126"/>
      <c r="E163" s="7"/>
    </row>
    <row r="164" spans="1:5" s="1" customFormat="1" ht="13.5" customHeight="1">
      <c r="A164" s="58"/>
      <c r="B164" s="5"/>
      <c r="C164" s="55"/>
      <c r="D164" s="99"/>
      <c r="E164" s="7"/>
    </row>
    <row r="165" spans="1:5" s="1" customFormat="1" ht="12.75">
      <c r="A165" s="5"/>
      <c r="B165" s="5"/>
      <c r="C165" s="55"/>
      <c r="D165" s="126"/>
      <c r="E165" s="7"/>
    </row>
    <row r="166" spans="1:5" s="1" customFormat="1" ht="12.75">
      <c r="A166" s="5"/>
      <c r="B166" s="5"/>
      <c r="C166" s="55"/>
      <c r="D166" s="99"/>
      <c r="E166" s="7"/>
    </row>
    <row r="167" spans="1:5" s="1" customFormat="1" ht="12.75">
      <c r="A167" s="5"/>
      <c r="B167" s="5"/>
      <c r="C167" s="101"/>
      <c r="D167" s="126"/>
      <c r="E167" s="7"/>
    </row>
    <row r="168" spans="1:5" s="1" customFormat="1" ht="13.5" thickBot="1">
      <c r="A168" s="6"/>
      <c r="B168" s="6"/>
      <c r="C168" s="130"/>
      <c r="D168" s="126"/>
      <c r="E168" s="7"/>
    </row>
    <row r="169" spans="1:5" s="1" customFormat="1" ht="13.5" thickBot="1">
      <c r="A169" s="64" t="s">
        <v>47</v>
      </c>
      <c r="B169" s="64">
        <f>SUM(B161:B168)</f>
        <v>0</v>
      </c>
      <c r="C169" s="65"/>
      <c r="D169" s="65"/>
      <c r="E169" s="7"/>
    </row>
    <row r="170" spans="1:5" s="1" customFormat="1" ht="12" thickBot="1">
      <c r="A170" s="66"/>
      <c r="B170" s="66"/>
      <c r="C170" s="66"/>
      <c r="D170" s="114"/>
      <c r="E170" s="7"/>
    </row>
    <row r="171" spans="1:5" s="2" customFormat="1" ht="30" customHeight="1" thickBot="1">
      <c r="A171" s="59" t="s">
        <v>41</v>
      </c>
      <c r="B171" s="60">
        <v>15</v>
      </c>
      <c r="C171" s="61"/>
      <c r="D171" s="61"/>
      <c r="E171" s="33"/>
    </row>
    <row r="172" spans="1:5" s="2" customFormat="1" ht="30" customHeight="1" thickBot="1">
      <c r="A172" s="62" t="s">
        <v>43</v>
      </c>
      <c r="B172" s="63" t="s">
        <v>49</v>
      </c>
      <c r="C172" s="62" t="s">
        <v>45</v>
      </c>
      <c r="D172" s="62" t="s">
        <v>46</v>
      </c>
      <c r="E172" s="33"/>
    </row>
    <row r="173" spans="1:5" s="1" customFormat="1" ht="12.75">
      <c r="A173" s="57"/>
      <c r="B173" s="4"/>
      <c r="C173" s="100"/>
      <c r="D173" s="115"/>
      <c r="E173" s="7"/>
    </row>
    <row r="174" spans="1:5" s="1" customFormat="1" ht="12.75">
      <c r="A174" s="58"/>
      <c r="B174" s="5"/>
      <c r="C174" s="55"/>
      <c r="D174" s="99"/>
      <c r="E174" s="7"/>
    </row>
    <row r="175" spans="1:5" s="1" customFormat="1" ht="12.75">
      <c r="A175" s="58"/>
      <c r="B175" s="5"/>
      <c r="C175" s="101"/>
      <c r="D175" s="99"/>
      <c r="E175" s="7"/>
    </row>
    <row r="176" spans="1:5" s="1" customFormat="1" ht="13.5" customHeight="1">
      <c r="A176" s="58"/>
      <c r="B176" s="5"/>
      <c r="C176" s="55"/>
      <c r="D176" s="55"/>
      <c r="E176" s="7"/>
    </row>
    <row r="177" spans="1:5" s="1" customFormat="1" ht="12.75">
      <c r="A177" s="5"/>
      <c r="B177" s="5"/>
      <c r="C177" s="55"/>
      <c r="D177" s="55"/>
      <c r="E177" s="7"/>
    </row>
    <row r="178" spans="1:5" s="1" customFormat="1" ht="12.75">
      <c r="A178" s="5"/>
      <c r="B178" s="5"/>
      <c r="C178" s="55"/>
      <c r="D178" s="55"/>
      <c r="E178" s="7"/>
    </row>
    <row r="179" spans="1:5" s="1" customFormat="1" ht="12.75">
      <c r="A179" s="5"/>
      <c r="B179" s="5"/>
      <c r="C179" s="55"/>
      <c r="D179" s="55"/>
      <c r="E179" s="7"/>
    </row>
    <row r="180" spans="1:5" s="1" customFormat="1" ht="13.5" thickBot="1">
      <c r="A180" s="6"/>
      <c r="B180" s="6"/>
      <c r="C180" s="56"/>
      <c r="D180" s="56"/>
      <c r="E180" s="7"/>
    </row>
    <row r="181" spans="1:5" s="1" customFormat="1" ht="13.5" thickBot="1">
      <c r="A181" s="64" t="s">
        <v>47</v>
      </c>
      <c r="B181" s="64">
        <f>SUM(B173:B180)</f>
        <v>0</v>
      </c>
      <c r="C181" s="65"/>
      <c r="D181" s="65"/>
      <c r="E181" s="7"/>
    </row>
    <row r="182" spans="1:5" s="1" customFormat="1" ht="12" thickBot="1">
      <c r="A182" s="66"/>
      <c r="B182" s="66"/>
      <c r="C182" s="66"/>
      <c r="D182" s="114"/>
      <c r="E182" s="7"/>
    </row>
    <row r="183" spans="1:5" s="2" customFormat="1" ht="30" customHeight="1" thickBot="1">
      <c r="A183" s="59" t="s">
        <v>41</v>
      </c>
      <c r="B183" s="60">
        <v>16</v>
      </c>
      <c r="C183" s="61"/>
      <c r="D183" s="61"/>
      <c r="E183" s="33"/>
    </row>
    <row r="184" spans="1:5" s="2" customFormat="1" ht="30" customHeight="1" thickBot="1">
      <c r="A184" s="62" t="s">
        <v>43</v>
      </c>
      <c r="B184" s="63" t="s">
        <v>49</v>
      </c>
      <c r="C184" s="62" t="s">
        <v>45</v>
      </c>
      <c r="D184" s="62" t="s">
        <v>46</v>
      </c>
      <c r="E184" s="33"/>
    </row>
    <row r="185" spans="1:5" s="1" customFormat="1" ht="12.75">
      <c r="A185" s="57"/>
      <c r="B185" s="4"/>
      <c r="C185" s="100"/>
      <c r="D185" s="115"/>
      <c r="E185" s="7"/>
    </row>
    <row r="186" spans="1:5" s="1" customFormat="1" ht="12.75">
      <c r="A186" s="58"/>
      <c r="B186" s="5"/>
      <c r="C186" s="55"/>
      <c r="D186" s="99"/>
      <c r="E186" s="7"/>
    </row>
    <row r="187" spans="1:5" s="1" customFormat="1" ht="12.75">
      <c r="A187" s="58"/>
      <c r="B187" s="5"/>
      <c r="C187" s="101"/>
      <c r="D187" s="99"/>
      <c r="E187" s="7"/>
    </row>
    <row r="188" spans="1:5" s="1" customFormat="1" ht="13.5" customHeight="1">
      <c r="A188" s="58"/>
      <c r="B188" s="5"/>
      <c r="C188" s="55"/>
      <c r="D188" s="55"/>
      <c r="E188" s="7"/>
    </row>
    <row r="189" spans="1:5" s="1" customFormat="1" ht="12.75">
      <c r="A189" s="5"/>
      <c r="B189" s="5"/>
      <c r="C189" s="55"/>
      <c r="D189" s="55"/>
      <c r="E189" s="7"/>
    </row>
    <row r="190" spans="1:5" s="1" customFormat="1" ht="12.75">
      <c r="A190" s="5"/>
      <c r="B190" s="5"/>
      <c r="C190" s="55"/>
      <c r="D190" s="55"/>
      <c r="E190" s="7"/>
    </row>
    <row r="191" spans="1:5" s="1" customFormat="1" ht="12.75">
      <c r="A191" s="5"/>
      <c r="B191" s="5"/>
      <c r="C191" s="55"/>
      <c r="D191" s="55"/>
      <c r="E191" s="7"/>
    </row>
    <row r="192" spans="1:5" s="1" customFormat="1" ht="13.5" thickBot="1">
      <c r="A192" s="6"/>
      <c r="B192" s="6"/>
      <c r="C192" s="56"/>
      <c r="D192" s="56"/>
      <c r="E192" s="7"/>
    </row>
    <row r="193" spans="1:5" s="1" customFormat="1" ht="13.5" thickBot="1">
      <c r="A193" s="64" t="s">
        <v>47</v>
      </c>
      <c r="B193" s="64">
        <f>SUM(B185:B192)</f>
        <v>0</v>
      </c>
      <c r="C193" s="65"/>
      <c r="D193" s="65"/>
      <c r="E193" s="7"/>
    </row>
    <row r="194" spans="1:5" s="1" customFormat="1">
      <c r="A194" s="66"/>
      <c r="B194" s="66"/>
      <c r="C194" s="66"/>
      <c r="D194" s="66"/>
      <c r="E194" s="7"/>
    </row>
  </sheetData>
  <sheetProtection formatRows="0" insertRows="0" insertHyperlinks="0" deleteRows="0" selectLockedCells="1"/>
  <phoneticPr fontId="0" type="noConversion"/>
  <dataValidations count="3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B133 B109 B97 B121 B84 B35 B48 B60 B72 B157 B169 B181 B193 B145 B11 B23" xr:uid="{00000000-0002-0000-01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101:B108 B185:B192 B149:B156 B39:B47 B113:B120 B52:B59 B64:B71 B161:B168 B173:B180 B27:B34 B15:B22 B76:B83 B125:B132 B137:B144 B88:B96 B3:B10" xr:uid="{00000000-0002-0000-0100-000001000000}">
      <formula1>0</formula1>
    </dataValidation>
    <dataValidation type="list" allowBlank="1" showInputMessage="1" showErrorMessage="1" sqref="A173:A180 A161:A168 A64:A71 A113:A120 A52:A59 A185:A192 A39:A47 A149:A156 A101:A108 A15:A22 A27:A34 A76:A83 A125:A132 A137:A144 A88:A96 A3:A10" xr:uid="{00000000-0002-0000-0100-000002000000}">
      <formula1>ListeTaches</formula1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50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  <rowBreaks count="12" manualBreakCount="12">
    <brk id="12" max="16383" man="1"/>
    <brk id="24" max="16383" man="1"/>
    <brk id="36" max="16383" man="1"/>
    <brk id="49" max="16383" man="1"/>
    <brk id="61" max="16383" man="1"/>
    <brk id="73" max="16383" man="1"/>
    <brk id="85" max="16383" man="1"/>
    <brk id="98" max="16383" man="1"/>
    <brk id="110" max="16383" man="1"/>
    <brk id="122" max="16383" man="1"/>
    <brk id="134" max="16383" man="1"/>
    <brk id="146" max="16383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CopierJNLMaster">
                <anchor moveWithCells="1" sizeWithCells="1">
                  <from>
                    <xdr:col>4</xdr:col>
                    <xdr:colOff>581025</xdr:colOff>
                    <xdr:row>0</xdr:row>
                    <xdr:rowOff>0</xdr:rowOff>
                  </from>
                  <to>
                    <xdr:col>6</xdr:col>
                    <xdr:colOff>285750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" r:id="rId5" name="Button 6">
              <controlPr defaultSize="0" print="0" autoFill="0" autoPict="0" macro="[0]!RapatriementPlanif">
                <anchor moveWithCells="1" sizeWithCells="1">
                  <from>
                    <xdr:col>4</xdr:col>
                    <xdr:colOff>47625</xdr:colOff>
                    <xdr:row>0</xdr:row>
                    <xdr:rowOff>95250</xdr:rowOff>
                  </from>
                  <to>
                    <xdr:col>5</xdr:col>
                    <xdr:colOff>0</xdr:colOff>
                    <xdr:row>1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7">
    <pageSetUpPr fitToPage="1"/>
  </sheetPr>
  <dimension ref="A1:AE400"/>
  <sheetViews>
    <sheetView showGridLines="0" tabSelected="1" zoomScale="145" zoomScaleNormal="145" zoomScaleSheetLayoutView="98" workbookViewId="0">
      <selection activeCell="C8" sqref="C8"/>
    </sheetView>
  </sheetViews>
  <sheetFormatPr defaultColWidth="11.42578125" defaultRowHeight="14.25"/>
  <cols>
    <col min="1" max="1" width="21.42578125" style="151" customWidth="1"/>
    <col min="2" max="2" width="9" style="151" bestFit="1" customWidth="1"/>
    <col min="3" max="3" width="87.7109375" style="151" bestFit="1" customWidth="1"/>
    <col min="4" max="4" width="44.28515625" style="151" customWidth="1"/>
    <col min="5" max="5" width="17.7109375" style="141" customWidth="1"/>
    <col min="6" max="16384" width="11.42578125" style="150"/>
  </cols>
  <sheetData>
    <row r="1" spans="1:31" s="135" customFormat="1" ht="30" customHeight="1" thickBot="1">
      <c r="A1" s="131" t="s">
        <v>41</v>
      </c>
      <c r="B1" s="132">
        <v>1</v>
      </c>
      <c r="C1" s="133"/>
      <c r="D1" s="152">
        <v>45600</v>
      </c>
      <c r="E1" s="134"/>
    </row>
    <row r="2" spans="1:31" s="135" customFormat="1" ht="30" customHeight="1" thickBot="1">
      <c r="A2" s="136" t="s">
        <v>43</v>
      </c>
      <c r="B2" s="137" t="s">
        <v>44</v>
      </c>
      <c r="C2" s="136" t="s">
        <v>62</v>
      </c>
      <c r="D2" s="136" t="s">
        <v>46</v>
      </c>
      <c r="E2" s="134"/>
    </row>
    <row r="3" spans="1:31" s="142" customFormat="1">
      <c r="A3" s="138"/>
      <c r="B3" s="139"/>
      <c r="C3" s="140"/>
      <c r="D3" s="186" t="s">
        <v>63</v>
      </c>
      <c r="E3" s="141"/>
    </row>
    <row r="4" spans="1:31" s="142" customFormat="1">
      <c r="A4" s="138" t="s">
        <v>33</v>
      </c>
      <c r="B4" s="139">
        <v>1</v>
      </c>
      <c r="C4" s="140" t="s">
        <v>64</v>
      </c>
      <c r="D4" s="123"/>
      <c r="E4" s="141"/>
    </row>
    <row r="5" spans="1:31" s="142" customFormat="1">
      <c r="A5" s="138" t="s">
        <v>33</v>
      </c>
      <c r="B5" s="139">
        <v>1</v>
      </c>
      <c r="C5" s="140" t="s">
        <v>65</v>
      </c>
      <c r="D5" s="123" t="s">
        <v>66</v>
      </c>
      <c r="E5" s="141"/>
    </row>
    <row r="6" spans="1:31" s="142" customFormat="1">
      <c r="A6" s="138" t="s">
        <v>33</v>
      </c>
      <c r="B6" s="139">
        <v>1</v>
      </c>
      <c r="C6" s="140" t="s">
        <v>67</v>
      </c>
      <c r="D6" s="123" t="s">
        <v>68</v>
      </c>
      <c r="E6" s="141"/>
    </row>
    <row r="7" spans="1:31" s="142" customFormat="1">
      <c r="A7" s="138"/>
      <c r="B7" s="139"/>
      <c r="C7" s="140" t="s">
        <v>69</v>
      </c>
      <c r="D7" s="179"/>
      <c r="E7" s="141"/>
    </row>
    <row r="8" spans="1:31" s="142" customFormat="1" ht="98.25">
      <c r="A8" s="138" t="s">
        <v>36</v>
      </c>
      <c r="B8" s="139">
        <v>9</v>
      </c>
      <c r="C8" s="140" t="s">
        <v>70</v>
      </c>
      <c r="D8" s="123" t="s">
        <v>71</v>
      </c>
      <c r="E8" s="141"/>
    </row>
    <row r="9" spans="1:31" s="142" customFormat="1">
      <c r="A9" s="138"/>
      <c r="B9" s="139"/>
      <c r="C9" s="182" t="s">
        <v>72</v>
      </c>
      <c r="D9" s="179"/>
      <c r="E9" s="141"/>
    </row>
    <row r="10" spans="1:31" s="142" customFormat="1">
      <c r="A10" s="138"/>
      <c r="B10" s="139"/>
      <c r="C10" s="140"/>
      <c r="D10" s="180" t="s">
        <v>73</v>
      </c>
      <c r="E10" s="141"/>
    </row>
    <row r="11" spans="1:31" ht="40.5">
      <c r="A11" s="138" t="s">
        <v>36</v>
      </c>
      <c r="B11" s="139">
        <v>9</v>
      </c>
      <c r="C11" s="140" t="s">
        <v>74</v>
      </c>
      <c r="D11" s="123" t="s">
        <v>75</v>
      </c>
      <c r="F11" s="142"/>
      <c r="G11" s="142"/>
      <c r="H11" s="142"/>
      <c r="I11" s="142"/>
      <c r="J11" s="142"/>
      <c r="K11" s="142"/>
      <c r="L11" s="142"/>
      <c r="M11" s="142"/>
      <c r="N11" s="142"/>
      <c r="O11" s="142"/>
      <c r="P11" s="142"/>
      <c r="Q11" s="142"/>
      <c r="R11" s="142"/>
      <c r="S11" s="142"/>
      <c r="T11" s="142"/>
      <c r="U11" s="142"/>
      <c r="V11" s="142"/>
      <c r="W11" s="142"/>
      <c r="X11" s="142"/>
      <c r="Y11" s="142"/>
      <c r="Z11" s="142"/>
      <c r="AA11" s="142"/>
      <c r="AB11" s="142"/>
      <c r="AC11" s="142"/>
      <c r="AD11" s="142"/>
      <c r="AE11" s="142"/>
    </row>
    <row r="12" spans="1:31" s="142" customFormat="1" ht="36.75">
      <c r="A12" s="138" t="s">
        <v>34</v>
      </c>
      <c r="B12" s="139">
        <v>3</v>
      </c>
      <c r="C12" s="205" t="s">
        <v>76</v>
      </c>
      <c r="D12" s="123" t="s">
        <v>77</v>
      </c>
      <c r="E12" s="141"/>
    </row>
    <row r="13" spans="1:31">
      <c r="A13" s="138"/>
      <c r="B13" s="139"/>
      <c r="C13" s="140" t="s">
        <v>78</v>
      </c>
      <c r="D13" s="143"/>
      <c r="F13" s="142"/>
      <c r="G13" s="142"/>
      <c r="H13" s="142"/>
      <c r="I13" s="142"/>
      <c r="J13" s="142"/>
      <c r="K13" s="142"/>
      <c r="L13" s="142"/>
      <c r="M13" s="142"/>
      <c r="N13" s="142"/>
      <c r="O13" s="142"/>
      <c r="P13" s="142"/>
      <c r="Q13" s="142"/>
      <c r="R13" s="142"/>
      <c r="S13" s="142"/>
      <c r="T13" s="142"/>
      <c r="U13" s="142"/>
      <c r="V13" s="142"/>
      <c r="W13" s="142"/>
      <c r="X13" s="142"/>
      <c r="Y13" s="142"/>
      <c r="Z13" s="142"/>
      <c r="AA13" s="142"/>
      <c r="AB13" s="142"/>
      <c r="AC13" s="142"/>
      <c r="AD13" s="142"/>
      <c r="AE13" s="142"/>
    </row>
    <row r="14" spans="1:31" s="142" customFormat="1" ht="15" thickBot="1">
      <c r="A14" s="144"/>
      <c r="B14" s="144"/>
      <c r="C14" s="145"/>
      <c r="D14" s="146"/>
      <c r="E14" s="141"/>
    </row>
    <row r="15" spans="1:31" s="142" customFormat="1" ht="15" thickBot="1">
      <c r="A15" s="147" t="s">
        <v>47</v>
      </c>
      <c r="B15" s="147">
        <f>SUM(B3:B14)</f>
        <v>24</v>
      </c>
      <c r="C15" s="148"/>
      <c r="D15" s="148"/>
      <c r="E15" s="141"/>
    </row>
    <row r="16" spans="1:31" ht="15" thickBot="1">
      <c r="A16" s="149"/>
      <c r="B16" s="149"/>
      <c r="C16" s="149"/>
      <c r="D16" s="149"/>
      <c r="F16" s="142"/>
      <c r="G16" s="142"/>
      <c r="H16" s="142"/>
      <c r="I16" s="142"/>
      <c r="J16" s="142"/>
      <c r="K16" s="142"/>
      <c r="L16" s="142"/>
      <c r="M16" s="142"/>
      <c r="N16" s="142"/>
      <c r="O16" s="142"/>
      <c r="P16" s="142"/>
      <c r="Q16" s="142"/>
      <c r="R16" s="142"/>
      <c r="S16" s="142"/>
      <c r="T16" s="142"/>
      <c r="U16" s="142"/>
      <c r="V16" s="142"/>
      <c r="W16" s="142"/>
      <c r="X16" s="142"/>
      <c r="Y16" s="142"/>
      <c r="Z16" s="142"/>
      <c r="AA16" s="142"/>
      <c r="AB16" s="142"/>
      <c r="AC16" s="142"/>
      <c r="AD16" s="142"/>
      <c r="AE16" s="142"/>
    </row>
    <row r="17" spans="1:31" ht="18.75" thickBot="1">
      <c r="A17" s="131" t="s">
        <v>41</v>
      </c>
      <c r="B17" s="132">
        <v>2</v>
      </c>
      <c r="C17" s="133"/>
      <c r="D17" s="152">
        <f>D1+7</f>
        <v>45607</v>
      </c>
      <c r="F17" s="142"/>
      <c r="G17" s="142"/>
      <c r="H17" s="142"/>
      <c r="I17" s="142"/>
      <c r="J17" s="142"/>
      <c r="K17" s="142"/>
      <c r="L17" s="142"/>
      <c r="M17" s="142"/>
      <c r="N17" s="142"/>
      <c r="O17" s="142"/>
      <c r="P17" s="142"/>
      <c r="Q17" s="142"/>
      <c r="R17" s="142"/>
      <c r="S17" s="142"/>
      <c r="T17" s="142"/>
      <c r="U17" s="142"/>
      <c r="V17" s="142"/>
      <c r="W17" s="142"/>
      <c r="X17" s="142"/>
      <c r="Y17" s="142"/>
      <c r="Z17" s="142"/>
      <c r="AA17" s="142"/>
      <c r="AB17" s="142"/>
      <c r="AC17" s="142"/>
      <c r="AD17" s="142"/>
      <c r="AE17" s="142"/>
    </row>
    <row r="18" spans="1:31" ht="26.25" thickBot="1">
      <c r="A18" s="136" t="s">
        <v>43</v>
      </c>
      <c r="B18" s="137" t="s">
        <v>49</v>
      </c>
      <c r="C18" s="136" t="s">
        <v>62</v>
      </c>
      <c r="D18" s="136" t="s">
        <v>46</v>
      </c>
      <c r="F18" s="142"/>
      <c r="G18" s="142"/>
      <c r="H18" s="142"/>
      <c r="I18" s="142"/>
      <c r="J18" s="142"/>
      <c r="K18" s="142"/>
      <c r="L18" s="142"/>
      <c r="M18" s="142"/>
      <c r="N18" s="142"/>
      <c r="O18" s="142"/>
      <c r="P18" s="142"/>
      <c r="Q18" s="142"/>
      <c r="R18" s="142"/>
      <c r="S18" s="142"/>
      <c r="T18" s="142"/>
      <c r="U18" s="142"/>
      <c r="V18" s="142"/>
      <c r="W18" s="142"/>
      <c r="X18" s="142"/>
      <c r="Y18" s="142"/>
      <c r="Z18" s="142"/>
      <c r="AA18" s="142"/>
      <c r="AB18" s="142"/>
      <c r="AC18" s="142"/>
      <c r="AD18" s="142"/>
      <c r="AE18" s="142"/>
    </row>
    <row r="19" spans="1:31">
      <c r="A19" s="138"/>
      <c r="B19" s="139"/>
      <c r="C19" s="140"/>
      <c r="D19" s="186" t="s">
        <v>79</v>
      </c>
      <c r="F19" s="142"/>
      <c r="G19" s="142"/>
      <c r="H19" s="142"/>
      <c r="I19" s="142"/>
      <c r="J19" s="142"/>
      <c r="K19" s="142"/>
      <c r="L19" s="142"/>
      <c r="M19" s="142"/>
      <c r="N19" s="142"/>
      <c r="O19" s="142"/>
      <c r="P19" s="142"/>
      <c r="Q19" s="142"/>
      <c r="R19" s="142"/>
      <c r="S19" s="142"/>
      <c r="T19" s="142"/>
      <c r="U19" s="142"/>
      <c r="V19" s="142"/>
      <c r="W19" s="142"/>
      <c r="X19" s="142"/>
      <c r="Y19" s="142"/>
      <c r="Z19" s="142"/>
      <c r="AA19" s="142"/>
      <c r="AB19" s="142"/>
      <c r="AC19" s="142"/>
      <c r="AD19" s="142"/>
      <c r="AE19" s="142"/>
    </row>
    <row r="20" spans="1:31">
      <c r="A20" s="138" t="s">
        <v>35</v>
      </c>
      <c r="B20" s="139">
        <v>2</v>
      </c>
      <c r="C20" s="140" t="s">
        <v>80</v>
      </c>
      <c r="D20" s="123" t="s">
        <v>81</v>
      </c>
      <c r="F20" s="142"/>
      <c r="G20" s="142"/>
      <c r="H20" s="142"/>
      <c r="I20" s="142"/>
      <c r="J20" s="142"/>
      <c r="K20" s="142"/>
      <c r="L20" s="142"/>
      <c r="M20" s="142"/>
      <c r="N20" s="142"/>
      <c r="O20" s="142"/>
      <c r="P20" s="142"/>
      <c r="Q20" s="142"/>
      <c r="R20" s="142"/>
      <c r="S20" s="142"/>
      <c r="T20" s="142"/>
      <c r="U20" s="142"/>
      <c r="V20" s="142"/>
      <c r="W20" s="142"/>
      <c r="X20" s="142"/>
      <c r="Y20" s="142"/>
      <c r="Z20" s="142"/>
      <c r="AA20" s="142"/>
      <c r="AB20" s="142"/>
      <c r="AC20" s="142"/>
      <c r="AD20" s="142"/>
      <c r="AE20" s="142"/>
    </row>
    <row r="21" spans="1:31" ht="27">
      <c r="A21" s="138" t="s">
        <v>35</v>
      </c>
      <c r="B21" s="139">
        <v>2</v>
      </c>
      <c r="C21" s="140" t="s">
        <v>82</v>
      </c>
      <c r="D21" s="179"/>
      <c r="F21" s="142"/>
      <c r="G21" s="142"/>
      <c r="H21" s="142"/>
      <c r="I21" s="142"/>
      <c r="J21" s="142"/>
      <c r="K21" s="142"/>
      <c r="L21" s="142"/>
      <c r="M21" s="142"/>
      <c r="N21" s="142"/>
      <c r="O21" s="142"/>
      <c r="P21" s="142"/>
      <c r="Q21" s="142"/>
      <c r="R21" s="142"/>
      <c r="S21" s="142"/>
      <c r="T21" s="142"/>
      <c r="U21" s="142"/>
      <c r="V21" s="142"/>
      <c r="W21" s="142"/>
      <c r="X21" s="142"/>
      <c r="Y21" s="142"/>
      <c r="Z21" s="142"/>
      <c r="AA21" s="142"/>
      <c r="AB21" s="142"/>
      <c r="AC21" s="142"/>
      <c r="AD21" s="142"/>
      <c r="AE21" s="142"/>
    </row>
    <row r="22" spans="1:31">
      <c r="A22" s="138"/>
      <c r="B22" s="139"/>
      <c r="C22" s="181" t="s">
        <v>83</v>
      </c>
      <c r="D22" s="179" t="s">
        <v>84</v>
      </c>
      <c r="F22" s="142"/>
      <c r="G22" s="142"/>
      <c r="H22" s="142"/>
      <c r="I22" s="142"/>
      <c r="J22" s="142"/>
      <c r="K22" s="142"/>
      <c r="L22" s="142"/>
      <c r="M22" s="142"/>
      <c r="N22" s="142"/>
      <c r="O22" s="142"/>
      <c r="P22" s="142"/>
      <c r="Q22" s="142"/>
      <c r="R22" s="142"/>
      <c r="S22" s="142"/>
      <c r="T22" s="142"/>
      <c r="U22" s="142"/>
      <c r="V22" s="142"/>
      <c r="W22" s="142"/>
      <c r="X22" s="142"/>
      <c r="Y22" s="142"/>
      <c r="Z22" s="142"/>
      <c r="AA22" s="142"/>
      <c r="AB22" s="142"/>
      <c r="AC22" s="142"/>
      <c r="AD22" s="142"/>
      <c r="AE22" s="142"/>
    </row>
    <row r="23" spans="1:31" s="142" customFormat="1" ht="40.5">
      <c r="A23" s="138" t="s">
        <v>34</v>
      </c>
      <c r="B23" s="139">
        <v>9</v>
      </c>
      <c r="C23" s="140" t="s">
        <v>85</v>
      </c>
      <c r="D23" s="123" t="s">
        <v>77</v>
      </c>
      <c r="E23" s="141"/>
    </row>
    <row r="24" spans="1:31">
      <c r="A24" s="138"/>
      <c r="B24" s="139"/>
      <c r="C24" s="140"/>
      <c r="D24" s="123"/>
      <c r="F24" s="142"/>
      <c r="G24" s="142"/>
      <c r="H24" s="142"/>
      <c r="I24" s="142"/>
      <c r="J24" s="142"/>
      <c r="K24" s="142"/>
      <c r="L24" s="142"/>
      <c r="M24" s="142"/>
      <c r="N24" s="142"/>
      <c r="O24" s="142"/>
      <c r="P24" s="142"/>
      <c r="Q24" s="142"/>
      <c r="R24" s="142"/>
      <c r="S24" s="142"/>
      <c r="T24" s="142"/>
      <c r="U24" s="142"/>
      <c r="V24" s="142"/>
      <c r="W24" s="142"/>
      <c r="X24" s="142"/>
      <c r="Y24" s="142"/>
      <c r="Z24" s="142"/>
      <c r="AA24" s="142"/>
      <c r="AB24" s="142"/>
      <c r="AC24" s="142"/>
      <c r="AD24" s="142"/>
      <c r="AE24" s="142"/>
    </row>
    <row r="25" spans="1:31">
      <c r="A25" s="138"/>
      <c r="B25" s="139"/>
      <c r="C25" s="182" t="s">
        <v>86</v>
      </c>
      <c r="D25" s="186" t="s">
        <v>87</v>
      </c>
      <c r="F25" s="142"/>
      <c r="G25" s="142"/>
      <c r="H25" s="142"/>
      <c r="I25" s="142"/>
      <c r="J25" s="142"/>
      <c r="K25" s="142"/>
      <c r="L25" s="142"/>
      <c r="M25" s="142"/>
      <c r="N25" s="142"/>
      <c r="O25" s="142"/>
      <c r="P25" s="142"/>
      <c r="Q25" s="142"/>
      <c r="R25" s="142"/>
      <c r="S25" s="142"/>
      <c r="T25" s="142"/>
      <c r="U25" s="142"/>
      <c r="V25" s="142"/>
      <c r="W25" s="142"/>
      <c r="X25" s="142"/>
      <c r="Y25" s="142"/>
      <c r="Z25" s="142"/>
      <c r="AA25" s="142"/>
      <c r="AB25" s="142"/>
      <c r="AC25" s="142"/>
      <c r="AD25" s="142"/>
      <c r="AE25" s="142"/>
    </row>
    <row r="26" spans="1:31" ht="27">
      <c r="A26" s="138" t="s">
        <v>34</v>
      </c>
      <c r="B26" s="139">
        <v>11</v>
      </c>
      <c r="C26" s="140" t="s">
        <v>88</v>
      </c>
      <c r="D26" s="123" t="s">
        <v>77</v>
      </c>
      <c r="F26" s="142"/>
      <c r="G26" s="142"/>
      <c r="H26" s="142"/>
      <c r="I26" s="142"/>
      <c r="J26" s="142"/>
      <c r="K26" s="142"/>
      <c r="L26" s="142"/>
      <c r="M26" s="142"/>
      <c r="N26" s="142"/>
      <c r="O26" s="142"/>
      <c r="P26" s="142"/>
      <c r="Q26" s="142"/>
      <c r="R26" s="142"/>
      <c r="S26" s="142"/>
      <c r="T26" s="142"/>
      <c r="U26" s="142"/>
      <c r="V26" s="142"/>
      <c r="W26" s="142"/>
      <c r="X26" s="142"/>
      <c r="Y26" s="142"/>
      <c r="Z26" s="142"/>
      <c r="AA26" s="142"/>
      <c r="AB26" s="142"/>
      <c r="AC26" s="142"/>
      <c r="AD26" s="142"/>
      <c r="AE26" s="142"/>
    </row>
    <row r="27" spans="1:31" ht="27.75">
      <c r="A27" s="138"/>
      <c r="B27" s="139">
        <v>1</v>
      </c>
      <c r="C27" s="140" t="s">
        <v>89</v>
      </c>
      <c r="D27" s="192" t="s">
        <v>90</v>
      </c>
      <c r="F27" s="142"/>
      <c r="G27" s="142"/>
      <c r="H27" s="142"/>
      <c r="I27" s="142"/>
      <c r="J27" s="142"/>
      <c r="K27" s="142"/>
      <c r="L27" s="142"/>
      <c r="M27" s="142"/>
      <c r="N27" s="142"/>
      <c r="O27" s="142"/>
      <c r="P27" s="142"/>
      <c r="Q27" s="142"/>
      <c r="R27" s="142"/>
      <c r="S27" s="142"/>
      <c r="T27" s="142"/>
      <c r="U27" s="142"/>
      <c r="V27" s="142"/>
      <c r="W27" s="142"/>
      <c r="X27" s="142"/>
      <c r="Y27" s="142"/>
      <c r="Z27" s="142"/>
      <c r="AA27" s="142"/>
      <c r="AB27" s="142"/>
      <c r="AC27" s="142"/>
      <c r="AD27" s="142"/>
      <c r="AE27" s="142"/>
    </row>
    <row r="28" spans="1:31">
      <c r="A28" s="138"/>
      <c r="B28" s="139"/>
      <c r="C28" s="140"/>
      <c r="D28" s="123"/>
      <c r="F28" s="142"/>
      <c r="G28" s="142"/>
      <c r="H28" s="142"/>
      <c r="I28" s="142"/>
      <c r="J28" s="142"/>
      <c r="K28" s="142"/>
      <c r="L28" s="142"/>
      <c r="M28" s="142"/>
      <c r="N28" s="142"/>
      <c r="O28" s="142"/>
      <c r="P28" s="142"/>
      <c r="Q28" s="142"/>
      <c r="R28" s="142"/>
      <c r="S28" s="142"/>
      <c r="T28" s="142"/>
      <c r="U28" s="142"/>
      <c r="V28" s="142"/>
      <c r="W28" s="142"/>
      <c r="X28" s="142"/>
      <c r="Y28" s="142"/>
      <c r="Z28" s="142"/>
      <c r="AA28" s="142"/>
      <c r="AB28" s="142"/>
      <c r="AC28" s="142"/>
      <c r="AD28" s="142"/>
      <c r="AE28" s="142"/>
    </row>
    <row r="29" spans="1:31">
      <c r="A29" s="138"/>
      <c r="B29" s="139"/>
      <c r="C29" s="140"/>
      <c r="D29" s="179"/>
      <c r="F29" s="142"/>
      <c r="G29" s="142"/>
      <c r="H29" s="142"/>
      <c r="I29" s="142"/>
      <c r="J29" s="142"/>
      <c r="K29" s="142"/>
      <c r="L29" s="142"/>
      <c r="M29" s="142"/>
      <c r="N29" s="142"/>
      <c r="O29" s="142"/>
      <c r="P29" s="142"/>
      <c r="Q29" s="142"/>
      <c r="R29" s="142"/>
      <c r="S29" s="142"/>
      <c r="T29" s="142"/>
      <c r="U29" s="142"/>
      <c r="V29" s="142"/>
      <c r="W29" s="142"/>
      <c r="X29" s="142"/>
      <c r="Y29" s="142"/>
      <c r="Z29" s="142"/>
      <c r="AA29" s="142"/>
      <c r="AB29" s="142"/>
      <c r="AC29" s="142"/>
      <c r="AD29" s="142"/>
      <c r="AE29" s="142"/>
    </row>
    <row r="30" spans="1:31" ht="15" thickBot="1">
      <c r="A30" s="138"/>
      <c r="B30" s="139"/>
      <c r="C30" s="140"/>
      <c r="D30" s="179"/>
      <c r="F30" s="142"/>
      <c r="G30" s="142"/>
      <c r="H30" s="142"/>
      <c r="I30" s="142"/>
      <c r="J30" s="142"/>
      <c r="K30" s="142"/>
      <c r="L30" s="142"/>
      <c r="M30" s="142"/>
      <c r="N30" s="142"/>
      <c r="O30" s="142"/>
      <c r="P30" s="142"/>
      <c r="Q30" s="142"/>
      <c r="R30" s="142"/>
      <c r="S30" s="142"/>
      <c r="T30" s="142"/>
      <c r="U30" s="142"/>
      <c r="V30" s="142"/>
      <c r="W30" s="142"/>
      <c r="X30" s="142"/>
      <c r="Y30" s="142"/>
      <c r="Z30" s="142"/>
      <c r="AA30" s="142"/>
      <c r="AB30" s="142"/>
      <c r="AC30" s="142"/>
      <c r="AD30" s="142"/>
      <c r="AE30" s="142"/>
    </row>
    <row r="31" spans="1:31" ht="15" thickBot="1">
      <c r="A31" s="147" t="s">
        <v>47</v>
      </c>
      <c r="B31" s="147">
        <f>SUM(B19:B30)</f>
        <v>25</v>
      </c>
      <c r="C31" s="148"/>
      <c r="D31" s="148"/>
      <c r="F31" s="142"/>
      <c r="G31" s="142"/>
      <c r="H31" s="142"/>
      <c r="I31" s="142"/>
      <c r="J31" s="142"/>
      <c r="K31" s="142"/>
      <c r="L31" s="142"/>
      <c r="M31" s="142"/>
      <c r="N31" s="142"/>
      <c r="O31" s="142"/>
      <c r="P31" s="142"/>
      <c r="Q31" s="142"/>
      <c r="R31" s="142"/>
      <c r="S31" s="142"/>
      <c r="T31" s="142"/>
      <c r="U31" s="142"/>
      <c r="V31" s="142"/>
      <c r="W31" s="142"/>
      <c r="X31" s="142"/>
      <c r="Y31" s="142"/>
      <c r="Z31" s="142"/>
      <c r="AA31" s="142"/>
      <c r="AB31" s="142"/>
      <c r="AC31" s="142"/>
      <c r="AD31" s="142"/>
      <c r="AE31" s="142"/>
    </row>
    <row r="32" spans="1:31" ht="15" thickBot="1">
      <c r="A32" s="149"/>
      <c r="B32" s="149"/>
      <c r="C32" s="149"/>
      <c r="D32" s="149"/>
      <c r="F32" s="142"/>
      <c r="G32" s="142"/>
      <c r="H32" s="142"/>
      <c r="I32" s="142"/>
      <c r="J32" s="142"/>
      <c r="K32" s="142"/>
      <c r="L32" s="142"/>
      <c r="M32" s="142"/>
      <c r="N32" s="142"/>
      <c r="O32" s="142"/>
      <c r="P32" s="142"/>
      <c r="Q32" s="142"/>
      <c r="R32" s="142"/>
      <c r="S32" s="142"/>
      <c r="T32" s="142"/>
      <c r="U32" s="142"/>
      <c r="V32" s="142"/>
      <c r="W32" s="142"/>
      <c r="X32" s="142"/>
      <c r="Y32" s="142"/>
      <c r="Z32" s="142"/>
      <c r="AA32" s="142"/>
      <c r="AB32" s="142"/>
      <c r="AC32" s="142"/>
      <c r="AD32" s="142"/>
      <c r="AE32" s="142"/>
    </row>
    <row r="33" spans="1:31" ht="18.75" thickBot="1">
      <c r="A33" s="131" t="s">
        <v>41</v>
      </c>
      <c r="B33" s="132">
        <v>3</v>
      </c>
      <c r="C33" s="133"/>
      <c r="D33" s="152">
        <f>D17+7</f>
        <v>45614</v>
      </c>
      <c r="F33" s="142"/>
      <c r="G33" s="142"/>
      <c r="H33" s="142"/>
      <c r="I33" s="142"/>
      <c r="J33" s="142"/>
      <c r="K33" s="142"/>
      <c r="L33" s="142"/>
      <c r="M33" s="142"/>
      <c r="N33" s="142"/>
      <c r="O33" s="142"/>
      <c r="P33" s="142"/>
      <c r="Q33" s="142"/>
      <c r="R33" s="142"/>
      <c r="S33" s="142"/>
      <c r="T33" s="142"/>
      <c r="U33" s="142"/>
      <c r="V33" s="142"/>
      <c r="W33" s="142"/>
      <c r="X33" s="142"/>
      <c r="Y33" s="142"/>
      <c r="Z33" s="142"/>
      <c r="AA33" s="142"/>
      <c r="AB33" s="142"/>
      <c r="AC33" s="142"/>
      <c r="AD33" s="142"/>
      <c r="AE33" s="142"/>
    </row>
    <row r="34" spans="1:31" ht="26.25" thickBot="1">
      <c r="A34" s="136" t="s">
        <v>43</v>
      </c>
      <c r="B34" s="137" t="s">
        <v>49</v>
      </c>
      <c r="C34" s="136" t="s">
        <v>62</v>
      </c>
      <c r="D34" s="136" t="s">
        <v>46</v>
      </c>
      <c r="F34" s="142"/>
      <c r="G34" s="142"/>
      <c r="H34" s="142"/>
      <c r="I34" s="142"/>
      <c r="J34" s="142"/>
      <c r="K34" s="142"/>
      <c r="L34" s="142"/>
      <c r="M34" s="142"/>
      <c r="N34" s="142"/>
      <c r="O34" s="142"/>
      <c r="P34" s="142"/>
      <c r="Q34" s="142"/>
      <c r="R34" s="142"/>
      <c r="S34" s="142"/>
      <c r="T34" s="142"/>
      <c r="U34" s="142"/>
      <c r="V34" s="142"/>
      <c r="W34" s="142"/>
      <c r="X34" s="142"/>
      <c r="Y34" s="142"/>
      <c r="Z34" s="142"/>
      <c r="AA34" s="142"/>
      <c r="AB34" s="142"/>
      <c r="AC34" s="142"/>
      <c r="AD34" s="142"/>
      <c r="AE34" s="142"/>
    </row>
    <row r="35" spans="1:31">
      <c r="A35" s="138"/>
      <c r="B35" s="139"/>
      <c r="C35" s="140"/>
      <c r="D35" s="186" t="s">
        <v>91</v>
      </c>
      <c r="F35" s="142"/>
      <c r="G35" s="142"/>
      <c r="H35" s="142"/>
      <c r="I35" s="142"/>
      <c r="J35" s="142"/>
      <c r="K35" s="142"/>
      <c r="L35" s="142"/>
      <c r="M35" s="142"/>
      <c r="N35" s="142"/>
      <c r="O35" s="142"/>
      <c r="P35" s="142"/>
      <c r="Q35" s="142"/>
      <c r="R35" s="142"/>
      <c r="S35" s="142"/>
      <c r="T35" s="142"/>
      <c r="U35" s="142"/>
      <c r="V35" s="142"/>
      <c r="W35" s="142"/>
      <c r="X35" s="142"/>
      <c r="Y35" s="142"/>
      <c r="Z35" s="142"/>
      <c r="AA35" s="142"/>
      <c r="AB35" s="142"/>
      <c r="AC35" s="142"/>
      <c r="AD35" s="142"/>
      <c r="AE35" s="142"/>
    </row>
    <row r="36" spans="1:31" ht="81">
      <c r="A36" s="138" t="s">
        <v>37</v>
      </c>
      <c r="B36" s="139">
        <v>2</v>
      </c>
      <c r="C36" s="140" t="s">
        <v>92</v>
      </c>
      <c r="D36" s="191" t="s">
        <v>93</v>
      </c>
      <c r="F36" s="142"/>
      <c r="G36" s="142"/>
      <c r="H36" s="142"/>
      <c r="I36" s="142"/>
      <c r="J36" s="142"/>
      <c r="K36" s="142"/>
      <c r="L36" s="142"/>
      <c r="M36" s="142"/>
      <c r="N36" s="142"/>
      <c r="O36" s="142"/>
      <c r="P36" s="142"/>
      <c r="Q36" s="142"/>
      <c r="R36" s="142"/>
      <c r="S36" s="142"/>
      <c r="T36" s="142"/>
      <c r="U36" s="142"/>
      <c r="V36" s="142"/>
      <c r="W36" s="142"/>
      <c r="X36" s="142"/>
      <c r="Y36" s="142"/>
      <c r="Z36" s="142"/>
      <c r="AA36" s="142"/>
      <c r="AB36" s="142"/>
      <c r="AC36" s="142"/>
      <c r="AD36" s="142"/>
      <c r="AE36" s="142"/>
    </row>
    <row r="37" spans="1:31" ht="27">
      <c r="A37" s="138" t="s">
        <v>37</v>
      </c>
      <c r="B37" s="139">
        <v>10</v>
      </c>
      <c r="C37" s="140" t="s">
        <v>94</v>
      </c>
      <c r="D37" s="123"/>
      <c r="F37" s="142"/>
      <c r="G37" s="142"/>
      <c r="H37" s="142"/>
      <c r="I37" s="142"/>
      <c r="J37" s="142"/>
      <c r="K37" s="142"/>
      <c r="L37" s="142"/>
      <c r="M37" s="142"/>
      <c r="N37" s="142"/>
      <c r="O37" s="142"/>
      <c r="P37" s="142"/>
      <c r="Q37" s="142"/>
      <c r="R37" s="142"/>
      <c r="S37" s="142"/>
      <c r="T37" s="142"/>
      <c r="U37" s="142"/>
      <c r="V37" s="142"/>
      <c r="W37" s="142"/>
      <c r="X37" s="142"/>
      <c r="Y37" s="142"/>
      <c r="Z37" s="142"/>
      <c r="AA37" s="142"/>
      <c r="AB37" s="142"/>
      <c r="AC37" s="142"/>
      <c r="AD37" s="142"/>
      <c r="AE37" s="142"/>
    </row>
    <row r="38" spans="1:31">
      <c r="A38" s="138"/>
      <c r="B38" s="139"/>
      <c r="C38" s="140" t="s">
        <v>95</v>
      </c>
      <c r="D38" s="123" t="s">
        <v>96</v>
      </c>
      <c r="F38" s="142"/>
      <c r="G38" s="142"/>
      <c r="H38" s="142"/>
      <c r="I38" s="142"/>
      <c r="J38" s="142"/>
      <c r="K38" s="142"/>
      <c r="L38" s="142"/>
      <c r="M38" s="142"/>
      <c r="N38" s="142"/>
      <c r="O38" s="142"/>
      <c r="P38" s="142"/>
      <c r="Q38" s="142"/>
      <c r="R38" s="142"/>
      <c r="S38" s="142"/>
      <c r="T38" s="142"/>
      <c r="U38" s="142"/>
      <c r="V38" s="142"/>
      <c r="W38" s="142"/>
      <c r="X38" s="142"/>
      <c r="Y38" s="142"/>
      <c r="Z38" s="142"/>
      <c r="AA38" s="142"/>
      <c r="AB38" s="142"/>
      <c r="AC38" s="142"/>
      <c r="AD38" s="142"/>
      <c r="AE38" s="142"/>
    </row>
    <row r="39" spans="1:31">
      <c r="A39" s="138"/>
      <c r="B39" s="139"/>
      <c r="C39" s="140" t="s">
        <v>97</v>
      </c>
      <c r="D39" s="179"/>
      <c r="F39" s="142"/>
      <c r="G39" s="142"/>
      <c r="H39" s="142"/>
      <c r="I39" s="142"/>
      <c r="J39" s="142"/>
      <c r="K39" s="142"/>
      <c r="L39" s="142"/>
      <c r="M39" s="142"/>
      <c r="N39" s="142"/>
      <c r="O39" s="142"/>
      <c r="P39" s="142"/>
      <c r="Q39" s="142"/>
      <c r="R39" s="142"/>
      <c r="S39" s="142"/>
      <c r="T39" s="142"/>
      <c r="U39" s="142"/>
      <c r="V39" s="142"/>
      <c r="W39" s="142"/>
      <c r="X39" s="142"/>
      <c r="Y39" s="142"/>
      <c r="Z39" s="142"/>
      <c r="AA39" s="142"/>
      <c r="AB39" s="142"/>
      <c r="AC39" s="142"/>
      <c r="AD39" s="142"/>
      <c r="AE39" s="142"/>
    </row>
    <row r="40" spans="1:31">
      <c r="A40" s="138"/>
      <c r="B40" s="139"/>
      <c r="C40" s="140"/>
      <c r="D40" s="190"/>
      <c r="F40" s="142"/>
      <c r="G40" s="142"/>
      <c r="H40" s="142"/>
      <c r="I40" s="142"/>
      <c r="J40" s="142"/>
      <c r="K40" s="142"/>
      <c r="L40" s="142"/>
      <c r="M40" s="142"/>
      <c r="N40" s="142"/>
      <c r="O40" s="142"/>
      <c r="P40" s="142"/>
      <c r="Q40" s="142"/>
      <c r="R40" s="142"/>
      <c r="S40" s="142"/>
      <c r="T40" s="142"/>
      <c r="U40" s="142"/>
      <c r="V40" s="142"/>
      <c r="W40" s="142"/>
      <c r="X40" s="142"/>
      <c r="Y40" s="142"/>
      <c r="Z40" s="142"/>
      <c r="AA40" s="142"/>
      <c r="AB40" s="142"/>
      <c r="AC40" s="142"/>
      <c r="AD40" s="142"/>
      <c r="AE40" s="142"/>
    </row>
    <row r="41" spans="1:31">
      <c r="A41" s="138"/>
      <c r="B41" s="139"/>
      <c r="C41" s="182" t="s">
        <v>98</v>
      </c>
      <c r="D41" s="186" t="s">
        <v>99</v>
      </c>
      <c r="F41" s="142"/>
      <c r="G41" s="142"/>
      <c r="H41" s="142"/>
      <c r="I41" s="142"/>
      <c r="J41" s="142"/>
      <c r="K41" s="142"/>
      <c r="L41" s="142"/>
      <c r="M41" s="142"/>
      <c r="N41" s="142"/>
      <c r="O41" s="142"/>
      <c r="P41" s="142"/>
      <c r="Q41" s="142"/>
      <c r="R41" s="142"/>
      <c r="S41" s="142"/>
      <c r="T41" s="142"/>
      <c r="U41" s="142"/>
      <c r="V41" s="142"/>
      <c r="W41" s="142"/>
      <c r="X41" s="142"/>
      <c r="Y41" s="142"/>
      <c r="Z41" s="142"/>
      <c r="AA41" s="142"/>
      <c r="AB41" s="142"/>
      <c r="AC41" s="142"/>
      <c r="AD41" s="142"/>
      <c r="AE41" s="142"/>
    </row>
    <row r="42" spans="1:31" ht="27">
      <c r="A42" s="138" t="s">
        <v>37</v>
      </c>
      <c r="B42" s="139">
        <v>12</v>
      </c>
      <c r="C42" s="140" t="s">
        <v>100</v>
      </c>
      <c r="D42" s="143"/>
      <c r="F42" s="142"/>
      <c r="G42" s="142"/>
      <c r="H42" s="142"/>
      <c r="I42" s="142"/>
      <c r="J42" s="142"/>
      <c r="K42" s="142"/>
      <c r="L42" s="142"/>
      <c r="M42" s="142"/>
      <c r="N42" s="142"/>
      <c r="O42" s="142"/>
      <c r="P42" s="142"/>
      <c r="Q42" s="142"/>
      <c r="R42" s="142"/>
      <c r="S42" s="142"/>
      <c r="T42" s="142"/>
      <c r="U42" s="142"/>
      <c r="V42" s="142"/>
      <c r="W42" s="142"/>
      <c r="X42" s="142"/>
      <c r="Y42" s="142"/>
      <c r="Z42" s="142"/>
      <c r="AA42" s="142"/>
      <c r="AB42" s="142"/>
      <c r="AC42" s="142"/>
      <c r="AD42" s="142"/>
      <c r="AE42" s="142"/>
    </row>
    <row r="43" spans="1:31">
      <c r="A43" s="187"/>
      <c r="B43" s="188"/>
      <c r="C43" s="140" t="s">
        <v>101</v>
      </c>
      <c r="D43" s="189"/>
      <c r="F43" s="142"/>
      <c r="G43" s="142"/>
      <c r="H43" s="142"/>
      <c r="I43" s="142"/>
      <c r="J43" s="142"/>
      <c r="K43" s="142"/>
      <c r="L43" s="142"/>
      <c r="M43" s="142"/>
      <c r="N43" s="142"/>
      <c r="O43" s="142"/>
      <c r="P43" s="142"/>
      <c r="Q43" s="142"/>
      <c r="R43" s="142"/>
      <c r="S43" s="142"/>
      <c r="T43" s="142"/>
      <c r="U43" s="142"/>
      <c r="V43" s="142"/>
      <c r="W43" s="142"/>
      <c r="X43" s="142"/>
      <c r="Y43" s="142"/>
      <c r="Z43" s="142"/>
      <c r="AA43" s="142"/>
      <c r="AB43" s="142"/>
      <c r="AC43" s="142"/>
      <c r="AD43" s="142"/>
      <c r="AE43" s="142"/>
    </row>
    <row r="44" spans="1:31" ht="15" thickBot="1">
      <c r="A44" s="144"/>
      <c r="B44" s="144"/>
      <c r="C44" s="193" t="s">
        <v>102</v>
      </c>
      <c r="D44" s="146"/>
      <c r="F44" s="142"/>
      <c r="G44" s="142"/>
      <c r="H44" s="142"/>
      <c r="I44" s="142"/>
      <c r="J44" s="142"/>
      <c r="K44" s="142"/>
      <c r="L44" s="142"/>
      <c r="M44" s="142"/>
      <c r="N44" s="142"/>
      <c r="O44" s="142"/>
      <c r="P44" s="142"/>
      <c r="Q44" s="142"/>
      <c r="R44" s="142"/>
      <c r="S44" s="142"/>
      <c r="T44" s="142"/>
      <c r="U44" s="142"/>
      <c r="V44" s="142"/>
      <c r="W44" s="142"/>
      <c r="X44" s="142"/>
      <c r="Y44" s="142"/>
      <c r="Z44" s="142"/>
      <c r="AA44" s="142"/>
      <c r="AB44" s="142"/>
      <c r="AC44" s="142"/>
      <c r="AD44" s="142"/>
      <c r="AE44" s="142"/>
    </row>
    <row r="45" spans="1:31" ht="15" thickBot="1">
      <c r="A45" s="147" t="s">
        <v>47</v>
      </c>
      <c r="B45" s="147">
        <f>SUM(B35:B44)</f>
        <v>24</v>
      </c>
      <c r="C45" s="148"/>
      <c r="D45" s="148"/>
      <c r="F45" s="142"/>
      <c r="G45" s="142"/>
      <c r="H45" s="142"/>
      <c r="I45" s="142"/>
      <c r="J45" s="142"/>
      <c r="K45" s="142"/>
      <c r="L45" s="142"/>
      <c r="M45" s="142"/>
      <c r="N45" s="142"/>
      <c r="O45" s="142"/>
      <c r="P45" s="142"/>
      <c r="Q45" s="142"/>
      <c r="R45" s="142"/>
      <c r="S45" s="142"/>
      <c r="T45" s="142"/>
      <c r="U45" s="142"/>
      <c r="V45" s="142"/>
      <c r="W45" s="142"/>
      <c r="X45" s="142"/>
      <c r="Y45" s="142"/>
      <c r="Z45" s="142"/>
      <c r="AA45" s="142"/>
      <c r="AB45" s="142"/>
      <c r="AC45" s="142"/>
      <c r="AD45" s="142"/>
      <c r="AE45" s="142"/>
    </row>
    <row r="46" spans="1:31" ht="15" thickBot="1">
      <c r="A46" s="149"/>
      <c r="B46" s="149"/>
      <c r="C46" s="149"/>
      <c r="D46" s="149"/>
      <c r="F46" s="142"/>
      <c r="G46" s="142"/>
      <c r="H46" s="142"/>
      <c r="I46" s="142"/>
      <c r="J46" s="142"/>
      <c r="K46" s="142"/>
      <c r="L46" s="142"/>
      <c r="M46" s="142"/>
      <c r="N46" s="142"/>
      <c r="O46" s="142"/>
      <c r="P46" s="142"/>
      <c r="Q46" s="142"/>
      <c r="R46" s="142"/>
      <c r="S46" s="142"/>
      <c r="T46" s="142"/>
      <c r="U46" s="142"/>
      <c r="V46" s="142"/>
      <c r="W46" s="142"/>
      <c r="X46" s="142"/>
      <c r="Y46" s="142"/>
      <c r="Z46" s="142"/>
      <c r="AA46" s="142"/>
      <c r="AB46" s="142"/>
      <c r="AC46" s="142"/>
      <c r="AD46" s="142"/>
      <c r="AE46" s="142"/>
    </row>
    <row r="47" spans="1:31" ht="18.75" thickBot="1">
      <c r="A47" s="131" t="s">
        <v>41</v>
      </c>
      <c r="B47" s="132">
        <v>4</v>
      </c>
      <c r="C47" s="133"/>
      <c r="D47" s="152">
        <f>D33+7</f>
        <v>45621</v>
      </c>
      <c r="F47" s="142"/>
      <c r="G47" s="142"/>
      <c r="H47" s="142"/>
      <c r="I47" s="142"/>
      <c r="J47" s="142"/>
      <c r="K47" s="142"/>
      <c r="L47" s="142"/>
      <c r="M47" s="142"/>
      <c r="N47" s="142"/>
      <c r="O47" s="142"/>
      <c r="P47" s="142"/>
      <c r="Q47" s="142"/>
      <c r="R47" s="142"/>
      <c r="S47" s="142"/>
      <c r="T47" s="142"/>
      <c r="U47" s="142"/>
      <c r="V47" s="142"/>
      <c r="W47" s="142"/>
      <c r="X47" s="142"/>
      <c r="Y47" s="142"/>
      <c r="Z47" s="142"/>
      <c r="AA47" s="142"/>
      <c r="AB47" s="142"/>
      <c r="AC47" s="142"/>
      <c r="AD47" s="142"/>
      <c r="AE47" s="142"/>
    </row>
    <row r="48" spans="1:31" ht="26.25" thickBot="1">
      <c r="A48" s="136" t="s">
        <v>43</v>
      </c>
      <c r="B48" s="137" t="s">
        <v>49</v>
      </c>
      <c r="C48" s="136" t="s">
        <v>62</v>
      </c>
      <c r="D48" s="136" t="s">
        <v>46</v>
      </c>
      <c r="F48" s="142"/>
      <c r="G48" s="142"/>
      <c r="H48" s="142"/>
      <c r="I48" s="142"/>
      <c r="J48" s="142"/>
      <c r="K48" s="142"/>
      <c r="L48" s="142"/>
      <c r="M48" s="142"/>
      <c r="N48" s="142"/>
      <c r="O48" s="142"/>
      <c r="P48" s="142"/>
      <c r="Q48" s="142"/>
      <c r="R48" s="142"/>
      <c r="S48" s="142"/>
      <c r="T48" s="142"/>
      <c r="U48" s="142"/>
      <c r="V48" s="142"/>
      <c r="W48" s="142"/>
      <c r="X48" s="142"/>
      <c r="Y48" s="142"/>
      <c r="Z48" s="142"/>
      <c r="AA48" s="142"/>
      <c r="AB48" s="142"/>
      <c r="AC48" s="142"/>
      <c r="AD48" s="142"/>
      <c r="AE48" s="142"/>
    </row>
    <row r="49" spans="1:31">
      <c r="A49" s="138"/>
      <c r="B49" s="139"/>
      <c r="C49" s="140"/>
      <c r="D49" s="186" t="s">
        <v>99</v>
      </c>
      <c r="F49" s="142"/>
      <c r="G49" s="142"/>
      <c r="H49" s="142"/>
      <c r="I49" s="142"/>
      <c r="J49" s="142"/>
      <c r="K49" s="142"/>
      <c r="L49" s="142"/>
      <c r="M49" s="142"/>
      <c r="N49" s="142"/>
      <c r="O49" s="142"/>
      <c r="P49" s="142"/>
      <c r="Q49" s="142"/>
      <c r="R49" s="142"/>
      <c r="S49" s="142"/>
      <c r="T49" s="142"/>
      <c r="U49" s="142"/>
      <c r="V49" s="142"/>
      <c r="W49" s="142"/>
      <c r="X49" s="142"/>
      <c r="Y49" s="142"/>
      <c r="Z49" s="142"/>
      <c r="AA49" s="142"/>
      <c r="AB49" s="142"/>
      <c r="AC49" s="142"/>
      <c r="AD49" s="142"/>
      <c r="AE49" s="142"/>
    </row>
    <row r="50" spans="1:31" ht="81">
      <c r="A50" s="138" t="s">
        <v>37</v>
      </c>
      <c r="B50" s="139">
        <v>8</v>
      </c>
      <c r="C50" s="140" t="s">
        <v>103</v>
      </c>
      <c r="D50" s="123"/>
      <c r="F50" s="142"/>
      <c r="G50" s="142"/>
      <c r="H50" s="142"/>
      <c r="I50" s="142"/>
      <c r="J50" s="142"/>
      <c r="K50" s="142"/>
      <c r="L50" s="142"/>
      <c r="M50" s="142"/>
      <c r="N50" s="142"/>
      <c r="O50" s="142"/>
      <c r="P50" s="142"/>
      <c r="Q50" s="142"/>
      <c r="R50" s="142"/>
      <c r="S50" s="142"/>
      <c r="T50" s="142"/>
      <c r="U50" s="142"/>
      <c r="V50" s="142"/>
      <c r="W50" s="142"/>
      <c r="X50" s="142"/>
      <c r="Y50" s="142"/>
      <c r="Z50" s="142"/>
      <c r="AA50" s="142"/>
      <c r="AB50" s="142"/>
      <c r="AC50" s="142"/>
      <c r="AD50" s="142"/>
      <c r="AE50" s="142"/>
    </row>
    <row r="51" spans="1:31">
      <c r="A51" s="138"/>
      <c r="B51" s="139"/>
      <c r="C51" s="140" t="s">
        <v>101</v>
      </c>
      <c r="D51" s="123"/>
      <c r="F51" s="142"/>
      <c r="G51" s="142"/>
      <c r="H51" s="142"/>
      <c r="I51" s="142"/>
      <c r="J51" s="142"/>
      <c r="K51" s="142"/>
      <c r="L51" s="142"/>
      <c r="M51" s="142"/>
      <c r="N51" s="142"/>
      <c r="O51" s="142"/>
      <c r="P51" s="142"/>
      <c r="Q51" s="142"/>
      <c r="R51" s="142"/>
      <c r="S51" s="142"/>
      <c r="T51" s="142"/>
      <c r="U51" s="142"/>
      <c r="V51" s="142"/>
      <c r="W51" s="142"/>
      <c r="X51" s="142"/>
      <c r="Y51" s="142"/>
      <c r="Z51" s="142"/>
      <c r="AA51" s="142"/>
      <c r="AB51" s="142"/>
      <c r="AC51" s="142"/>
      <c r="AD51" s="142"/>
      <c r="AE51" s="142"/>
    </row>
    <row r="52" spans="1:31">
      <c r="A52" s="138"/>
      <c r="B52" s="139">
        <v>4</v>
      </c>
      <c r="C52" s="140" t="s">
        <v>104</v>
      </c>
      <c r="D52" s="123"/>
      <c r="F52" s="142"/>
      <c r="G52" s="142"/>
      <c r="H52" s="142"/>
      <c r="I52" s="142"/>
      <c r="J52" s="142"/>
      <c r="K52" s="142"/>
      <c r="L52" s="142"/>
      <c r="M52" s="142"/>
      <c r="N52" s="142"/>
      <c r="O52" s="142"/>
      <c r="P52" s="142"/>
      <c r="Q52" s="142"/>
      <c r="R52" s="142"/>
      <c r="S52" s="142"/>
      <c r="T52" s="142"/>
      <c r="U52" s="142"/>
      <c r="V52" s="142"/>
      <c r="W52" s="142"/>
      <c r="X52" s="142"/>
      <c r="Y52" s="142"/>
      <c r="Z52" s="142"/>
      <c r="AA52" s="142"/>
      <c r="AB52" s="142"/>
      <c r="AC52" s="142"/>
      <c r="AD52" s="142"/>
      <c r="AE52" s="142"/>
    </row>
    <row r="53" spans="1:31">
      <c r="A53" s="138"/>
      <c r="B53" s="139"/>
      <c r="C53" s="140"/>
      <c r="D53" s="179"/>
      <c r="F53" s="142"/>
      <c r="G53" s="142"/>
      <c r="H53" s="142"/>
      <c r="I53" s="142"/>
      <c r="J53" s="142"/>
      <c r="K53" s="142"/>
      <c r="L53" s="142"/>
      <c r="M53" s="142"/>
      <c r="N53" s="142"/>
      <c r="O53" s="142"/>
      <c r="P53" s="142"/>
      <c r="Q53" s="142"/>
      <c r="R53" s="142"/>
      <c r="S53" s="142"/>
      <c r="T53" s="142"/>
      <c r="U53" s="142"/>
      <c r="V53" s="142"/>
      <c r="W53" s="142"/>
      <c r="X53" s="142"/>
      <c r="Y53" s="142"/>
      <c r="Z53" s="142"/>
      <c r="AA53" s="142"/>
      <c r="AB53" s="142"/>
      <c r="AC53" s="142"/>
      <c r="AD53" s="142"/>
      <c r="AE53" s="142"/>
    </row>
    <row r="54" spans="1:31">
      <c r="A54" s="138"/>
      <c r="B54" s="139"/>
      <c r="C54" s="182" t="s">
        <v>105</v>
      </c>
      <c r="D54" s="186" t="s">
        <v>106</v>
      </c>
      <c r="F54" s="142"/>
      <c r="G54" s="142"/>
      <c r="H54" s="142"/>
      <c r="I54" s="142"/>
      <c r="J54" s="142"/>
      <c r="K54" s="142"/>
      <c r="L54" s="142"/>
      <c r="M54" s="142"/>
      <c r="N54" s="142"/>
      <c r="O54" s="142"/>
      <c r="P54" s="142"/>
      <c r="Q54" s="142"/>
      <c r="R54" s="142"/>
      <c r="S54" s="142"/>
      <c r="T54" s="142"/>
      <c r="U54" s="142"/>
      <c r="V54" s="142"/>
      <c r="W54" s="142"/>
      <c r="X54" s="142"/>
      <c r="Y54" s="142"/>
      <c r="Z54" s="142"/>
      <c r="AA54" s="142"/>
      <c r="AB54" s="142"/>
      <c r="AC54" s="142"/>
      <c r="AD54" s="142"/>
      <c r="AE54" s="142"/>
    </row>
    <row r="55" spans="1:31" ht="27">
      <c r="A55" s="138" t="s">
        <v>37</v>
      </c>
      <c r="B55" s="139">
        <v>10</v>
      </c>
      <c r="C55" s="140" t="s">
        <v>107</v>
      </c>
      <c r="D55" s="179"/>
      <c r="F55" s="142"/>
      <c r="G55" s="142"/>
      <c r="H55" s="142"/>
      <c r="I55" s="142"/>
      <c r="J55" s="142"/>
      <c r="K55" s="142"/>
      <c r="L55" s="142"/>
      <c r="M55" s="142"/>
      <c r="N55" s="142"/>
      <c r="O55" s="142"/>
      <c r="P55" s="142"/>
      <c r="Q55" s="142"/>
      <c r="R55" s="142"/>
      <c r="S55" s="142"/>
      <c r="T55" s="142"/>
      <c r="U55" s="142"/>
      <c r="V55" s="142"/>
      <c r="W55" s="142"/>
      <c r="X55" s="142"/>
      <c r="Y55" s="142"/>
      <c r="Z55" s="142"/>
      <c r="AA55" s="142"/>
      <c r="AB55" s="142"/>
      <c r="AC55" s="142"/>
      <c r="AD55" s="142"/>
      <c r="AE55" s="142"/>
    </row>
    <row r="56" spans="1:31">
      <c r="A56" s="138"/>
      <c r="B56" s="139"/>
      <c r="C56" s="140" t="s">
        <v>101</v>
      </c>
      <c r="D56" s="123" t="s">
        <v>96</v>
      </c>
      <c r="F56" s="142"/>
      <c r="G56" s="142"/>
      <c r="H56" s="142"/>
      <c r="I56" s="142"/>
      <c r="J56" s="142"/>
      <c r="K56" s="142"/>
      <c r="L56" s="142"/>
      <c r="M56" s="142"/>
      <c r="N56" s="142"/>
      <c r="O56" s="142"/>
      <c r="P56" s="142"/>
      <c r="Q56" s="142"/>
      <c r="R56" s="142"/>
      <c r="S56" s="142"/>
      <c r="T56" s="142"/>
      <c r="U56" s="142"/>
      <c r="V56" s="142"/>
      <c r="W56" s="142"/>
      <c r="X56" s="142"/>
      <c r="Y56" s="142"/>
      <c r="Z56" s="142"/>
      <c r="AA56" s="142"/>
      <c r="AB56" s="142"/>
      <c r="AC56" s="142"/>
      <c r="AD56" s="142"/>
      <c r="AE56" s="142"/>
    </row>
    <row r="57" spans="1:31" ht="40.5">
      <c r="A57" s="138"/>
      <c r="B57" s="139">
        <v>2</v>
      </c>
      <c r="C57" s="140" t="s">
        <v>108</v>
      </c>
      <c r="D57" s="123" t="s">
        <v>109</v>
      </c>
      <c r="F57" s="142"/>
      <c r="G57" s="142"/>
      <c r="H57" s="142"/>
      <c r="I57" s="142"/>
      <c r="J57" s="142"/>
      <c r="K57" s="142"/>
      <c r="L57" s="142"/>
      <c r="M57" s="142"/>
      <c r="N57" s="142"/>
      <c r="O57" s="142"/>
      <c r="P57" s="142"/>
      <c r="Q57" s="142"/>
      <c r="R57" s="142"/>
      <c r="S57" s="142"/>
      <c r="T57" s="142"/>
      <c r="U57" s="142"/>
      <c r="V57" s="142"/>
      <c r="W57" s="142"/>
      <c r="X57" s="142"/>
      <c r="Y57" s="142"/>
      <c r="Z57" s="142"/>
      <c r="AA57" s="142"/>
      <c r="AB57" s="142"/>
      <c r="AC57" s="142"/>
      <c r="AD57" s="142"/>
      <c r="AE57" s="142"/>
    </row>
    <row r="58" spans="1:31" ht="15" thickBot="1">
      <c r="A58" s="144"/>
      <c r="B58" s="144"/>
      <c r="C58" s="145"/>
      <c r="D58" s="179"/>
      <c r="F58" s="142"/>
      <c r="G58" s="142"/>
      <c r="H58" s="142"/>
      <c r="I58" s="142"/>
      <c r="J58" s="142"/>
      <c r="K58" s="142"/>
      <c r="L58" s="142"/>
      <c r="M58" s="142"/>
      <c r="N58" s="142"/>
      <c r="O58" s="142"/>
      <c r="P58" s="142"/>
      <c r="Q58" s="142"/>
      <c r="R58" s="142"/>
      <c r="S58" s="142"/>
      <c r="T58" s="142"/>
      <c r="U58" s="142"/>
      <c r="V58" s="142"/>
      <c r="W58" s="142"/>
      <c r="X58" s="142"/>
      <c r="Y58" s="142"/>
      <c r="Z58" s="142"/>
      <c r="AA58" s="142"/>
      <c r="AB58" s="142"/>
      <c r="AC58" s="142"/>
      <c r="AD58" s="142"/>
      <c r="AE58" s="142"/>
    </row>
    <row r="59" spans="1:31" s="142" customFormat="1" ht="15" thickBot="1">
      <c r="A59" s="147" t="s">
        <v>47</v>
      </c>
      <c r="B59" s="147">
        <f>SUM(B49:B58)</f>
        <v>24</v>
      </c>
      <c r="C59" s="148"/>
      <c r="D59" s="148"/>
      <c r="E59" s="141"/>
    </row>
    <row r="60" spans="1:31" ht="15" thickBot="1">
      <c r="A60" s="149"/>
      <c r="B60" s="149"/>
      <c r="C60" s="149"/>
      <c r="D60" s="149"/>
      <c r="F60" s="142"/>
      <c r="G60" s="142"/>
      <c r="H60" s="142"/>
      <c r="I60" s="142"/>
      <c r="J60" s="142"/>
      <c r="K60" s="142"/>
      <c r="L60" s="142"/>
      <c r="M60" s="142"/>
      <c r="N60" s="142"/>
      <c r="O60" s="142"/>
      <c r="P60" s="142"/>
      <c r="Q60" s="142"/>
      <c r="R60" s="142"/>
      <c r="S60" s="142"/>
      <c r="T60" s="142"/>
      <c r="U60" s="142"/>
      <c r="V60" s="142"/>
      <c r="W60" s="142"/>
      <c r="X60" s="142"/>
      <c r="Y60" s="142"/>
      <c r="Z60" s="142"/>
      <c r="AA60" s="142"/>
      <c r="AB60" s="142"/>
      <c r="AC60" s="142"/>
      <c r="AD60" s="142"/>
      <c r="AE60" s="142"/>
    </row>
    <row r="61" spans="1:31" ht="18.75" thickBot="1">
      <c r="A61" s="131" t="s">
        <v>41</v>
      </c>
      <c r="B61" s="132">
        <v>5</v>
      </c>
      <c r="C61" s="133"/>
      <c r="D61" s="152">
        <f>D47+7</f>
        <v>45628</v>
      </c>
      <c r="F61" s="142"/>
      <c r="G61" s="142"/>
      <c r="H61" s="142"/>
      <c r="I61" s="142"/>
      <c r="J61" s="142"/>
      <c r="K61" s="142"/>
      <c r="L61" s="142"/>
      <c r="M61" s="142"/>
      <c r="N61" s="142"/>
      <c r="O61" s="142"/>
      <c r="P61" s="142"/>
      <c r="Q61" s="142"/>
      <c r="R61" s="142"/>
      <c r="S61" s="142"/>
      <c r="T61" s="142"/>
      <c r="U61" s="142"/>
      <c r="V61" s="142"/>
      <c r="W61" s="142"/>
      <c r="X61" s="142"/>
      <c r="Y61" s="142"/>
      <c r="Z61" s="142"/>
      <c r="AA61" s="142"/>
      <c r="AB61" s="142"/>
      <c r="AC61" s="142"/>
      <c r="AD61" s="142"/>
      <c r="AE61" s="142"/>
    </row>
    <row r="62" spans="1:31" ht="26.25" thickBot="1">
      <c r="A62" s="136" t="s">
        <v>43</v>
      </c>
      <c r="B62" s="137" t="s">
        <v>49</v>
      </c>
      <c r="C62" s="136" t="s">
        <v>62</v>
      </c>
      <c r="D62" s="136" t="s">
        <v>46</v>
      </c>
      <c r="F62" s="142"/>
      <c r="G62" s="142"/>
      <c r="H62" s="142"/>
      <c r="I62" s="142"/>
      <c r="J62" s="142"/>
      <c r="K62" s="142"/>
      <c r="L62" s="142"/>
      <c r="M62" s="142"/>
      <c r="N62" s="142"/>
      <c r="O62" s="142"/>
      <c r="P62" s="142"/>
      <c r="Q62" s="142"/>
      <c r="R62" s="142"/>
      <c r="S62" s="142"/>
      <c r="T62" s="142"/>
      <c r="U62" s="142"/>
      <c r="V62" s="142"/>
      <c r="W62" s="142"/>
      <c r="X62" s="142"/>
      <c r="Y62" s="142"/>
      <c r="Z62" s="142"/>
      <c r="AA62" s="142"/>
      <c r="AB62" s="142"/>
      <c r="AC62" s="142"/>
      <c r="AD62" s="142"/>
      <c r="AE62" s="142"/>
    </row>
    <row r="63" spans="1:31">
      <c r="A63" s="138"/>
      <c r="B63" s="139"/>
      <c r="C63" s="140"/>
      <c r="D63" s="186" t="s">
        <v>63</v>
      </c>
      <c r="F63" s="142"/>
      <c r="G63" s="142"/>
      <c r="H63" s="142"/>
      <c r="I63" s="142"/>
      <c r="J63" s="142"/>
      <c r="K63" s="142"/>
      <c r="L63" s="142"/>
      <c r="M63" s="142"/>
      <c r="N63" s="142"/>
      <c r="O63" s="142"/>
      <c r="P63" s="142"/>
      <c r="Q63" s="142"/>
      <c r="R63" s="142"/>
      <c r="S63" s="142"/>
      <c r="T63" s="142"/>
      <c r="U63" s="142"/>
      <c r="V63" s="142"/>
      <c r="W63" s="142"/>
      <c r="X63" s="142"/>
      <c r="Y63" s="142"/>
      <c r="Z63" s="142"/>
      <c r="AA63" s="142"/>
      <c r="AB63" s="142"/>
      <c r="AC63" s="142"/>
      <c r="AD63" s="142"/>
      <c r="AE63" s="142"/>
    </row>
    <row r="64" spans="1:31" ht="81">
      <c r="A64" s="138" t="s">
        <v>37</v>
      </c>
      <c r="B64" s="139">
        <v>12</v>
      </c>
      <c r="C64" s="140" t="s">
        <v>110</v>
      </c>
      <c r="D64" s="123" t="s">
        <v>111</v>
      </c>
      <c r="F64" s="142"/>
      <c r="G64" s="142"/>
      <c r="H64" s="142"/>
      <c r="I64" s="142"/>
      <c r="J64" s="142"/>
      <c r="K64" s="142"/>
      <c r="L64" s="142"/>
      <c r="M64" s="142"/>
      <c r="N64" s="142"/>
      <c r="O64" s="142"/>
      <c r="P64" s="142"/>
      <c r="Q64" s="142"/>
      <c r="R64" s="142"/>
      <c r="S64" s="142"/>
      <c r="T64" s="142"/>
      <c r="U64" s="142"/>
      <c r="V64" s="142"/>
      <c r="W64" s="142"/>
      <c r="X64" s="142"/>
      <c r="Y64" s="142"/>
      <c r="Z64" s="142"/>
      <c r="AA64" s="142"/>
      <c r="AB64" s="142"/>
      <c r="AC64" s="142"/>
      <c r="AD64" s="142"/>
      <c r="AE64" s="142"/>
    </row>
    <row r="65" spans="1:31">
      <c r="A65" s="138"/>
      <c r="B65" s="139"/>
      <c r="C65" s="140" t="s">
        <v>112</v>
      </c>
      <c r="D65" s="123" t="s">
        <v>96</v>
      </c>
      <c r="F65" s="142"/>
      <c r="G65" s="142"/>
      <c r="H65" s="142"/>
      <c r="I65" s="142"/>
      <c r="J65" s="142"/>
      <c r="K65" s="142"/>
      <c r="L65" s="142"/>
      <c r="M65" s="142"/>
      <c r="N65" s="142"/>
      <c r="O65" s="142"/>
      <c r="P65" s="142"/>
      <c r="Q65" s="142"/>
      <c r="R65" s="142"/>
      <c r="S65" s="142"/>
      <c r="T65" s="142"/>
      <c r="U65" s="142"/>
      <c r="V65" s="142"/>
      <c r="W65" s="142"/>
      <c r="X65" s="142"/>
      <c r="Y65" s="142"/>
      <c r="Z65" s="142"/>
      <c r="AA65" s="142"/>
      <c r="AB65" s="142"/>
      <c r="AC65" s="142"/>
      <c r="AD65" s="142"/>
      <c r="AE65" s="142"/>
    </row>
    <row r="66" spans="1:31">
      <c r="A66" s="138"/>
      <c r="B66" s="139"/>
      <c r="C66" s="140"/>
      <c r="D66" s="179"/>
      <c r="F66" s="142"/>
      <c r="G66" s="142"/>
      <c r="H66" s="142"/>
      <c r="I66" s="142"/>
      <c r="J66" s="142"/>
      <c r="K66" s="142"/>
      <c r="L66" s="142"/>
      <c r="M66" s="142"/>
      <c r="N66" s="142"/>
      <c r="O66" s="142"/>
      <c r="P66" s="142"/>
      <c r="Q66" s="142"/>
      <c r="R66" s="142"/>
      <c r="S66" s="142"/>
      <c r="T66" s="142"/>
      <c r="U66" s="142"/>
      <c r="V66" s="142"/>
      <c r="W66" s="142"/>
      <c r="X66" s="142"/>
      <c r="Y66" s="142"/>
      <c r="Z66" s="142"/>
      <c r="AA66" s="142"/>
      <c r="AB66" s="142"/>
      <c r="AC66" s="142"/>
      <c r="AD66" s="142"/>
      <c r="AE66" s="142"/>
    </row>
    <row r="67" spans="1:31">
      <c r="A67" s="138"/>
      <c r="B67" s="139"/>
      <c r="C67" s="182" t="s">
        <v>113</v>
      </c>
      <c r="D67" s="186" t="s">
        <v>63</v>
      </c>
      <c r="F67" s="142"/>
      <c r="G67" s="142"/>
      <c r="H67" s="142"/>
      <c r="I67" s="142"/>
      <c r="J67" s="142"/>
      <c r="K67" s="142"/>
      <c r="L67" s="142"/>
      <c r="M67" s="142"/>
      <c r="N67" s="142"/>
      <c r="O67" s="142"/>
      <c r="P67" s="142"/>
      <c r="Q67" s="142"/>
      <c r="R67" s="142"/>
      <c r="S67" s="142"/>
      <c r="T67" s="142"/>
      <c r="U67" s="142"/>
      <c r="V67" s="142"/>
      <c r="W67" s="142"/>
      <c r="X67" s="142"/>
      <c r="Y67" s="142"/>
      <c r="Z67" s="142"/>
      <c r="AA67" s="142"/>
      <c r="AB67" s="142"/>
      <c r="AC67" s="142"/>
      <c r="AD67" s="142"/>
      <c r="AE67" s="142"/>
    </row>
    <row r="68" spans="1:31" ht="27">
      <c r="A68" s="138" t="s">
        <v>37</v>
      </c>
      <c r="B68" s="139">
        <v>10</v>
      </c>
      <c r="C68" s="140" t="s">
        <v>107</v>
      </c>
      <c r="D68" s="179"/>
      <c r="F68" s="142"/>
      <c r="G68" s="142"/>
      <c r="H68" s="142"/>
      <c r="I68" s="142"/>
      <c r="J68" s="142"/>
      <c r="K68" s="142"/>
      <c r="L68" s="142"/>
      <c r="M68" s="142"/>
      <c r="N68" s="142"/>
      <c r="O68" s="142"/>
      <c r="P68" s="142"/>
      <c r="Q68" s="142"/>
      <c r="R68" s="142"/>
      <c r="S68" s="142"/>
      <c r="T68" s="142"/>
      <c r="U68" s="142"/>
      <c r="V68" s="142"/>
      <c r="W68" s="142"/>
      <c r="X68" s="142"/>
      <c r="Y68" s="142"/>
      <c r="Z68" s="142"/>
      <c r="AA68" s="142"/>
      <c r="AB68" s="142"/>
      <c r="AC68" s="142"/>
      <c r="AD68" s="142"/>
      <c r="AE68" s="142"/>
    </row>
    <row r="69" spans="1:31">
      <c r="A69" s="138"/>
      <c r="B69" s="139"/>
      <c r="C69" s="140" t="s">
        <v>101</v>
      </c>
      <c r="D69" s="179"/>
      <c r="F69" s="142"/>
      <c r="G69" s="142"/>
      <c r="H69" s="142"/>
      <c r="I69" s="142"/>
      <c r="J69" s="142"/>
      <c r="K69" s="142"/>
      <c r="L69" s="142"/>
      <c r="M69" s="142"/>
      <c r="N69" s="142"/>
      <c r="O69" s="142"/>
      <c r="P69" s="142"/>
      <c r="Q69" s="142"/>
      <c r="R69" s="142"/>
      <c r="S69" s="142"/>
      <c r="T69" s="142"/>
      <c r="U69" s="142"/>
      <c r="V69" s="142"/>
      <c r="W69" s="142"/>
      <c r="X69" s="142"/>
      <c r="Y69" s="142"/>
      <c r="Z69" s="142"/>
      <c r="AA69" s="142"/>
      <c r="AB69" s="142"/>
      <c r="AC69" s="142"/>
      <c r="AD69" s="142"/>
      <c r="AE69" s="142"/>
    </row>
    <row r="70" spans="1:31">
      <c r="A70" s="138"/>
      <c r="B70" s="139"/>
      <c r="C70" s="140"/>
      <c r="D70" s="123"/>
      <c r="F70" s="142"/>
      <c r="G70" s="142"/>
      <c r="H70" s="142"/>
      <c r="I70" s="142"/>
      <c r="J70" s="142"/>
      <c r="K70" s="142"/>
      <c r="L70" s="142"/>
      <c r="M70" s="142"/>
      <c r="N70" s="142"/>
      <c r="O70" s="142"/>
      <c r="P70" s="142"/>
      <c r="Q70" s="142"/>
      <c r="R70" s="142"/>
      <c r="S70" s="142"/>
      <c r="T70" s="142"/>
      <c r="U70" s="142"/>
      <c r="V70" s="142"/>
      <c r="W70" s="142"/>
      <c r="X70" s="142"/>
      <c r="Y70" s="142"/>
      <c r="Z70" s="142"/>
      <c r="AA70" s="142"/>
      <c r="AB70" s="142"/>
      <c r="AC70" s="142"/>
      <c r="AD70" s="142"/>
      <c r="AE70" s="142"/>
    </row>
    <row r="71" spans="1:31">
      <c r="A71" s="138"/>
      <c r="B71" s="139"/>
      <c r="C71" s="140"/>
      <c r="D71" s="123"/>
      <c r="F71" s="142"/>
      <c r="G71" s="142"/>
      <c r="H71" s="142"/>
      <c r="I71" s="142"/>
      <c r="J71" s="142"/>
      <c r="K71" s="142"/>
      <c r="L71" s="142"/>
      <c r="M71" s="142"/>
      <c r="N71" s="142"/>
      <c r="O71" s="142"/>
      <c r="P71" s="142"/>
      <c r="Q71" s="142"/>
      <c r="R71" s="142"/>
      <c r="S71" s="142"/>
      <c r="T71" s="142"/>
      <c r="U71" s="142"/>
      <c r="V71" s="142"/>
      <c r="W71" s="142"/>
      <c r="X71" s="142"/>
      <c r="Y71" s="142"/>
      <c r="Z71" s="142"/>
      <c r="AA71" s="142"/>
      <c r="AB71" s="142"/>
      <c r="AC71" s="142"/>
      <c r="AD71" s="142"/>
      <c r="AE71" s="142"/>
    </row>
    <row r="72" spans="1:31" ht="15" thickBot="1">
      <c r="A72" s="144"/>
      <c r="B72" s="144"/>
      <c r="C72" s="145"/>
      <c r="D72" s="179"/>
      <c r="F72" s="142"/>
      <c r="G72" s="142"/>
      <c r="H72" s="142"/>
      <c r="I72" s="142"/>
      <c r="J72" s="142"/>
      <c r="K72" s="142"/>
      <c r="L72" s="142"/>
      <c r="M72" s="142"/>
      <c r="N72" s="142"/>
      <c r="O72" s="142"/>
      <c r="P72" s="142"/>
      <c r="Q72" s="142"/>
      <c r="R72" s="142"/>
      <c r="S72" s="142"/>
      <c r="T72" s="142"/>
      <c r="U72" s="142"/>
      <c r="V72" s="142"/>
      <c r="W72" s="142"/>
      <c r="X72" s="142"/>
      <c r="Y72" s="142"/>
      <c r="Z72" s="142"/>
      <c r="AA72" s="142"/>
      <c r="AB72" s="142"/>
      <c r="AC72" s="142"/>
      <c r="AD72" s="142"/>
      <c r="AE72" s="142"/>
    </row>
    <row r="73" spans="1:31" s="142" customFormat="1" ht="15" thickBot="1">
      <c r="A73" s="147" t="s">
        <v>47</v>
      </c>
      <c r="B73" s="147">
        <f>SUM(B63:B72)</f>
        <v>22</v>
      </c>
      <c r="C73" s="148"/>
      <c r="D73" s="148"/>
      <c r="E73" s="141"/>
    </row>
    <row r="74" spans="1:31" ht="15" thickBot="1">
      <c r="A74" s="149"/>
      <c r="B74" s="149"/>
      <c r="C74" s="149"/>
      <c r="D74" s="149"/>
      <c r="F74" s="142"/>
      <c r="G74" s="142"/>
      <c r="H74" s="142"/>
      <c r="I74" s="142"/>
      <c r="J74" s="142"/>
      <c r="K74" s="142"/>
      <c r="L74" s="142"/>
      <c r="M74" s="142"/>
      <c r="N74" s="142"/>
      <c r="O74" s="142"/>
      <c r="P74" s="142"/>
      <c r="Q74" s="142"/>
      <c r="R74" s="142"/>
      <c r="S74" s="142"/>
      <c r="T74" s="142"/>
      <c r="U74" s="142"/>
      <c r="V74" s="142"/>
      <c r="W74" s="142"/>
      <c r="X74" s="142"/>
      <c r="Y74" s="142"/>
      <c r="Z74" s="142"/>
      <c r="AA74" s="142"/>
      <c r="AB74" s="142"/>
      <c r="AC74" s="142"/>
      <c r="AD74" s="142"/>
      <c r="AE74" s="142"/>
    </row>
    <row r="75" spans="1:31" ht="18.75" thickBot="1">
      <c r="A75" s="131" t="s">
        <v>41</v>
      </c>
      <c r="B75" s="132">
        <v>6</v>
      </c>
      <c r="C75" s="133"/>
      <c r="D75" s="152">
        <f>D61+7</f>
        <v>45635</v>
      </c>
      <c r="F75" s="142"/>
      <c r="G75" s="142"/>
      <c r="H75" s="142"/>
      <c r="I75" s="142"/>
      <c r="J75" s="142"/>
      <c r="K75" s="142"/>
      <c r="L75" s="142"/>
      <c r="M75" s="142"/>
      <c r="N75" s="142"/>
      <c r="O75" s="142"/>
      <c r="P75" s="142"/>
      <c r="Q75" s="142"/>
      <c r="R75" s="142"/>
      <c r="S75" s="142"/>
      <c r="T75" s="142"/>
      <c r="U75" s="142"/>
      <c r="V75" s="142"/>
      <c r="W75" s="142"/>
      <c r="X75" s="142"/>
      <c r="Y75" s="142"/>
      <c r="Z75" s="142"/>
      <c r="AA75" s="142"/>
      <c r="AB75" s="142"/>
      <c r="AC75" s="142"/>
      <c r="AD75" s="142"/>
      <c r="AE75" s="142"/>
    </row>
    <row r="76" spans="1:31" ht="26.25" thickBot="1">
      <c r="A76" s="136" t="s">
        <v>43</v>
      </c>
      <c r="B76" s="137" t="s">
        <v>49</v>
      </c>
      <c r="C76" s="136" t="s">
        <v>62</v>
      </c>
      <c r="D76" s="136" t="s">
        <v>46</v>
      </c>
      <c r="F76" s="142"/>
      <c r="G76" s="142"/>
      <c r="H76" s="142"/>
      <c r="I76" s="142"/>
      <c r="J76" s="142"/>
      <c r="K76" s="142"/>
      <c r="L76" s="142"/>
      <c r="M76" s="142"/>
      <c r="N76" s="142"/>
      <c r="O76" s="142"/>
      <c r="P76" s="142"/>
      <c r="Q76" s="142"/>
      <c r="R76" s="142"/>
      <c r="S76" s="142"/>
      <c r="T76" s="142"/>
      <c r="U76" s="142"/>
      <c r="V76" s="142"/>
      <c r="W76" s="142"/>
      <c r="X76" s="142"/>
      <c r="Y76" s="142"/>
      <c r="Z76" s="142"/>
      <c r="AA76" s="142"/>
      <c r="AB76" s="142"/>
      <c r="AC76" s="142"/>
      <c r="AD76" s="142"/>
      <c r="AE76" s="142"/>
    </row>
    <row r="77" spans="1:31">
      <c r="A77" s="138"/>
      <c r="B77" s="139"/>
      <c r="C77" s="140"/>
      <c r="D77" s="186" t="s">
        <v>63</v>
      </c>
      <c r="F77" s="142"/>
      <c r="G77" s="142"/>
      <c r="H77" s="142"/>
      <c r="I77" s="142"/>
      <c r="J77" s="142"/>
      <c r="K77" s="142"/>
      <c r="L77" s="142"/>
      <c r="M77" s="142"/>
      <c r="N77" s="142"/>
      <c r="O77" s="142"/>
      <c r="P77" s="142"/>
      <c r="Q77" s="142"/>
      <c r="R77" s="142"/>
      <c r="S77" s="142"/>
      <c r="T77" s="142"/>
      <c r="U77" s="142"/>
      <c r="V77" s="142"/>
      <c r="W77" s="142"/>
      <c r="X77" s="142"/>
      <c r="Y77" s="142"/>
      <c r="Z77" s="142"/>
      <c r="AA77" s="142"/>
      <c r="AB77" s="142"/>
      <c r="AC77" s="142"/>
      <c r="AD77" s="142"/>
      <c r="AE77" s="142"/>
    </row>
    <row r="78" spans="1:31" ht="81">
      <c r="A78" s="138" t="s">
        <v>37</v>
      </c>
      <c r="B78" s="139">
        <v>12</v>
      </c>
      <c r="C78" s="140" t="s">
        <v>103</v>
      </c>
      <c r="D78" s="123" t="s">
        <v>111</v>
      </c>
      <c r="F78" s="142"/>
      <c r="G78" s="142"/>
      <c r="H78" s="142"/>
      <c r="I78" s="142"/>
      <c r="J78" s="142"/>
      <c r="K78" s="142"/>
      <c r="L78" s="142"/>
      <c r="M78" s="142"/>
      <c r="N78" s="142"/>
      <c r="O78" s="142"/>
      <c r="P78" s="142"/>
      <c r="Q78" s="142"/>
      <c r="R78" s="142"/>
      <c r="S78" s="142"/>
      <c r="T78" s="142"/>
      <c r="U78" s="142"/>
      <c r="V78" s="142"/>
      <c r="W78" s="142"/>
      <c r="X78" s="142"/>
      <c r="Y78" s="142"/>
      <c r="Z78" s="142"/>
      <c r="AA78" s="142"/>
      <c r="AB78" s="142"/>
      <c r="AC78" s="142"/>
      <c r="AD78" s="142"/>
      <c r="AE78" s="142"/>
    </row>
    <row r="79" spans="1:31" ht="67.5">
      <c r="A79" s="138"/>
      <c r="B79" s="139"/>
      <c r="C79" s="140" t="s">
        <v>114</v>
      </c>
      <c r="D79" s="123" t="s">
        <v>96</v>
      </c>
      <c r="F79" s="142"/>
      <c r="G79" s="142"/>
      <c r="H79" s="142"/>
      <c r="I79" s="142"/>
      <c r="J79" s="142"/>
      <c r="K79" s="142"/>
      <c r="L79" s="142"/>
      <c r="M79" s="142"/>
      <c r="N79" s="142"/>
      <c r="O79" s="142"/>
      <c r="P79" s="142"/>
      <c r="Q79" s="142"/>
      <c r="R79" s="142"/>
      <c r="S79" s="142"/>
      <c r="T79" s="142"/>
      <c r="U79" s="142"/>
      <c r="V79" s="142"/>
      <c r="W79" s="142"/>
      <c r="X79" s="142"/>
      <c r="Y79" s="142"/>
      <c r="Z79" s="142"/>
      <c r="AA79" s="142"/>
      <c r="AB79" s="142"/>
      <c r="AC79" s="142"/>
      <c r="AD79" s="142"/>
      <c r="AE79" s="142"/>
    </row>
    <row r="80" spans="1:31">
      <c r="A80" s="138"/>
      <c r="B80" s="139"/>
      <c r="C80" s="140"/>
      <c r="D80" s="179"/>
      <c r="F80" s="142"/>
      <c r="G80" s="142"/>
      <c r="H80" s="142"/>
      <c r="I80" s="142"/>
      <c r="J80" s="142"/>
      <c r="K80" s="142"/>
      <c r="L80" s="142"/>
      <c r="M80" s="142"/>
      <c r="N80" s="142"/>
      <c r="O80" s="142"/>
      <c r="P80" s="142"/>
      <c r="Q80" s="142"/>
      <c r="R80" s="142"/>
      <c r="S80" s="142"/>
      <c r="T80" s="142"/>
      <c r="U80" s="142"/>
      <c r="V80" s="142"/>
      <c r="W80" s="142"/>
      <c r="X80" s="142"/>
      <c r="Y80" s="142"/>
      <c r="Z80" s="142"/>
      <c r="AA80" s="142"/>
      <c r="AB80" s="142"/>
      <c r="AC80" s="142"/>
      <c r="AD80" s="142"/>
      <c r="AE80" s="142"/>
    </row>
    <row r="81" spans="1:31">
      <c r="A81" s="138"/>
      <c r="B81" s="139"/>
      <c r="C81" s="182" t="s">
        <v>115</v>
      </c>
      <c r="D81" s="186" t="s">
        <v>63</v>
      </c>
      <c r="F81" s="142"/>
      <c r="G81" s="142"/>
      <c r="H81" s="142"/>
      <c r="I81" s="142"/>
      <c r="J81" s="142"/>
      <c r="K81" s="142"/>
      <c r="L81" s="142"/>
      <c r="M81" s="142"/>
      <c r="N81" s="142"/>
      <c r="O81" s="142"/>
      <c r="P81" s="142"/>
      <c r="Q81" s="142"/>
      <c r="R81" s="142"/>
      <c r="S81" s="142"/>
      <c r="T81" s="142"/>
      <c r="U81" s="142"/>
      <c r="V81" s="142"/>
      <c r="W81" s="142"/>
      <c r="X81" s="142"/>
      <c r="Y81" s="142"/>
      <c r="Z81" s="142"/>
      <c r="AA81" s="142"/>
      <c r="AB81" s="142"/>
      <c r="AC81" s="142"/>
      <c r="AD81" s="142"/>
      <c r="AE81" s="142"/>
    </row>
    <row r="82" spans="1:31" ht="27">
      <c r="A82" s="138" t="s">
        <v>37</v>
      </c>
      <c r="B82" s="139">
        <v>12</v>
      </c>
      <c r="C82" s="140" t="s">
        <v>107</v>
      </c>
      <c r="D82" s="123" t="s">
        <v>111</v>
      </c>
      <c r="F82" s="142"/>
      <c r="G82" s="142"/>
      <c r="H82" s="142"/>
      <c r="I82" s="142"/>
      <c r="J82" s="142"/>
      <c r="K82" s="142"/>
      <c r="L82" s="142"/>
      <c r="M82" s="142"/>
      <c r="N82" s="142"/>
      <c r="O82" s="142"/>
      <c r="P82" s="142"/>
      <c r="Q82" s="142"/>
      <c r="R82" s="142"/>
      <c r="S82" s="142"/>
      <c r="T82" s="142"/>
      <c r="U82" s="142"/>
      <c r="V82" s="142"/>
      <c r="W82" s="142"/>
      <c r="X82" s="142"/>
      <c r="Y82" s="142"/>
      <c r="Z82" s="142"/>
      <c r="AA82" s="142"/>
      <c r="AB82" s="142"/>
      <c r="AC82" s="142"/>
      <c r="AD82" s="142"/>
      <c r="AE82" s="142"/>
    </row>
    <row r="83" spans="1:31" ht="93.75">
      <c r="A83" s="138"/>
      <c r="B83" s="139"/>
      <c r="C83" s="140" t="s">
        <v>116</v>
      </c>
      <c r="D83" s="123" t="s">
        <v>96</v>
      </c>
      <c r="F83" s="142"/>
      <c r="G83" s="142"/>
      <c r="H83" s="142"/>
      <c r="I83" s="142"/>
      <c r="J83" s="142"/>
      <c r="K83" s="142"/>
      <c r="L83" s="142"/>
      <c r="M83" s="142"/>
      <c r="N83" s="142"/>
      <c r="O83" s="142"/>
      <c r="P83" s="142"/>
      <c r="Q83" s="142"/>
      <c r="R83" s="142"/>
      <c r="S83" s="142"/>
      <c r="T83" s="142"/>
      <c r="U83" s="142"/>
      <c r="V83" s="142"/>
      <c r="W83" s="142"/>
      <c r="X83" s="142"/>
      <c r="Y83" s="142"/>
      <c r="Z83" s="142"/>
      <c r="AA83" s="142"/>
      <c r="AB83" s="142"/>
      <c r="AC83" s="142"/>
      <c r="AD83" s="142"/>
      <c r="AE83" s="142"/>
    </row>
    <row r="84" spans="1:31" ht="15" thickBot="1">
      <c r="A84" s="144"/>
      <c r="B84" s="144"/>
      <c r="C84" s="145"/>
      <c r="D84" s="179"/>
      <c r="F84" s="142"/>
      <c r="G84" s="142"/>
      <c r="H84" s="142"/>
      <c r="I84" s="142"/>
      <c r="J84" s="142"/>
      <c r="K84" s="142"/>
      <c r="L84" s="142"/>
      <c r="M84" s="142"/>
      <c r="N84" s="142"/>
      <c r="O84" s="142"/>
      <c r="P84" s="142"/>
      <c r="Q84" s="142"/>
      <c r="R84" s="142"/>
      <c r="S84" s="142"/>
      <c r="T84" s="142"/>
      <c r="U84" s="142"/>
      <c r="V84" s="142"/>
      <c r="W84" s="142"/>
      <c r="X84" s="142"/>
      <c r="Y84" s="142"/>
      <c r="Z84" s="142"/>
      <c r="AA84" s="142"/>
      <c r="AB84" s="142"/>
      <c r="AC84" s="142"/>
      <c r="AD84" s="142"/>
      <c r="AE84" s="142"/>
    </row>
    <row r="85" spans="1:31" s="142" customFormat="1" ht="15" thickBot="1">
      <c r="A85" s="147" t="s">
        <v>47</v>
      </c>
      <c r="B85" s="147">
        <f>SUM(B77:B84)</f>
        <v>24</v>
      </c>
      <c r="C85" s="148"/>
      <c r="D85" s="148"/>
      <c r="E85" s="141"/>
    </row>
    <row r="86" spans="1:31" ht="15" thickBot="1">
      <c r="A86" s="149"/>
      <c r="B86" s="149"/>
      <c r="C86" s="149"/>
      <c r="D86" s="149"/>
      <c r="F86" s="142"/>
      <c r="G86" s="142"/>
      <c r="H86" s="142"/>
      <c r="I86" s="142"/>
      <c r="J86" s="142"/>
      <c r="K86" s="142"/>
      <c r="L86" s="142"/>
      <c r="M86" s="142"/>
      <c r="N86" s="142"/>
      <c r="O86" s="142"/>
      <c r="P86" s="142"/>
      <c r="Q86" s="142"/>
      <c r="R86" s="142"/>
      <c r="S86" s="142"/>
      <c r="T86" s="142"/>
      <c r="U86" s="142"/>
      <c r="V86" s="142"/>
      <c r="W86" s="142"/>
      <c r="X86" s="142"/>
      <c r="Y86" s="142"/>
      <c r="Z86" s="142"/>
      <c r="AA86" s="142"/>
      <c r="AB86" s="142"/>
      <c r="AC86" s="142"/>
      <c r="AD86" s="142"/>
      <c r="AE86" s="142"/>
    </row>
    <row r="87" spans="1:31" ht="18.75" thickBot="1">
      <c r="A87" s="131" t="s">
        <v>41</v>
      </c>
      <c r="B87" s="132">
        <v>7</v>
      </c>
      <c r="C87" s="133"/>
      <c r="D87" s="152">
        <f>D75+7</f>
        <v>45642</v>
      </c>
      <c r="F87" s="142"/>
      <c r="G87" s="142"/>
      <c r="H87" s="142"/>
      <c r="I87" s="142"/>
      <c r="J87" s="142"/>
      <c r="K87" s="142"/>
      <c r="L87" s="142"/>
      <c r="M87" s="142"/>
      <c r="N87" s="142"/>
      <c r="O87" s="142"/>
      <c r="P87" s="142"/>
      <c r="Q87" s="142"/>
      <c r="R87" s="142"/>
      <c r="S87" s="142"/>
      <c r="T87" s="142"/>
      <c r="U87" s="142"/>
      <c r="V87" s="142"/>
      <c r="W87" s="142"/>
      <c r="X87" s="142"/>
      <c r="Y87" s="142"/>
      <c r="Z87" s="142"/>
      <c r="AA87" s="142"/>
      <c r="AB87" s="142"/>
      <c r="AC87" s="142"/>
      <c r="AD87" s="142"/>
      <c r="AE87" s="142"/>
    </row>
    <row r="88" spans="1:31" ht="26.25" thickBot="1">
      <c r="A88" s="136" t="s">
        <v>43</v>
      </c>
      <c r="B88" s="137" t="s">
        <v>49</v>
      </c>
      <c r="C88" s="136" t="s">
        <v>62</v>
      </c>
      <c r="D88" s="136" t="s">
        <v>46</v>
      </c>
      <c r="F88" s="142"/>
      <c r="G88" s="142"/>
      <c r="H88" s="142"/>
      <c r="I88" s="142"/>
      <c r="J88" s="142"/>
      <c r="K88" s="142"/>
      <c r="L88" s="142"/>
      <c r="M88" s="142"/>
      <c r="N88" s="142"/>
      <c r="O88" s="142"/>
      <c r="P88" s="142"/>
      <c r="Q88" s="142"/>
      <c r="R88" s="142"/>
      <c r="S88" s="142"/>
      <c r="T88" s="142"/>
      <c r="U88" s="142"/>
      <c r="V88" s="142"/>
      <c r="W88" s="142"/>
      <c r="X88" s="142"/>
      <c r="Y88" s="142"/>
      <c r="Z88" s="142"/>
      <c r="AA88" s="142"/>
      <c r="AB88" s="142"/>
      <c r="AC88" s="142"/>
      <c r="AD88" s="142"/>
      <c r="AE88" s="142"/>
    </row>
    <row r="89" spans="1:31">
      <c r="A89" s="138"/>
      <c r="B89" s="139"/>
      <c r="C89" s="140"/>
      <c r="D89" s="186" t="s">
        <v>63</v>
      </c>
      <c r="F89" s="142"/>
      <c r="G89" s="142"/>
      <c r="H89" s="142"/>
      <c r="I89" s="142"/>
      <c r="J89" s="142"/>
      <c r="K89" s="142"/>
      <c r="L89" s="142"/>
      <c r="M89" s="142"/>
      <c r="N89" s="142"/>
      <c r="O89" s="142"/>
      <c r="P89" s="142"/>
      <c r="Q89" s="142"/>
      <c r="R89" s="142"/>
      <c r="S89" s="142"/>
      <c r="T89" s="142"/>
      <c r="U89" s="142"/>
      <c r="V89" s="142"/>
      <c r="W89" s="142"/>
      <c r="X89" s="142"/>
      <c r="Y89" s="142"/>
      <c r="Z89" s="142"/>
      <c r="AA89" s="142"/>
      <c r="AB89" s="142"/>
      <c r="AC89" s="142"/>
      <c r="AD89" s="142"/>
      <c r="AE89" s="142"/>
    </row>
    <row r="90" spans="1:31" ht="81">
      <c r="A90" s="138" t="s">
        <v>37</v>
      </c>
      <c r="B90" s="139">
        <v>12</v>
      </c>
      <c r="C90" s="140" t="s">
        <v>103</v>
      </c>
      <c r="D90" s="143"/>
      <c r="F90" s="142"/>
      <c r="G90" s="142"/>
      <c r="H90" s="142"/>
      <c r="I90" s="142"/>
      <c r="J90" s="142"/>
      <c r="K90" s="142"/>
      <c r="L90" s="142"/>
      <c r="M90" s="142"/>
      <c r="N90" s="142"/>
      <c r="O90" s="142"/>
      <c r="P90" s="142"/>
      <c r="Q90" s="142"/>
      <c r="R90" s="142"/>
      <c r="S90" s="142"/>
      <c r="T90" s="142"/>
      <c r="U90" s="142"/>
      <c r="V90" s="142"/>
      <c r="W90" s="142"/>
      <c r="X90" s="142"/>
      <c r="Y90" s="142"/>
      <c r="Z90" s="142"/>
      <c r="AA90" s="142"/>
      <c r="AB90" s="142"/>
      <c r="AC90" s="142"/>
      <c r="AD90" s="142"/>
      <c r="AE90" s="142"/>
    </row>
    <row r="91" spans="1:31" ht="54">
      <c r="A91" s="138"/>
      <c r="B91" s="139"/>
      <c r="C91" s="140" t="s">
        <v>117</v>
      </c>
      <c r="D91" s="179"/>
      <c r="F91" s="142"/>
      <c r="G91" s="142"/>
      <c r="H91" s="142"/>
      <c r="I91" s="142"/>
      <c r="J91" s="142"/>
      <c r="K91" s="142"/>
      <c r="L91" s="142"/>
      <c r="M91" s="142"/>
      <c r="N91" s="142"/>
      <c r="O91" s="142"/>
      <c r="P91" s="142"/>
      <c r="Q91" s="142"/>
      <c r="R91" s="142"/>
      <c r="S91" s="142"/>
      <c r="T91" s="142"/>
      <c r="U91" s="142"/>
      <c r="V91" s="142"/>
      <c r="W91" s="142"/>
      <c r="X91" s="142"/>
      <c r="Y91" s="142"/>
      <c r="Z91" s="142"/>
      <c r="AA91" s="142"/>
      <c r="AB91" s="142"/>
      <c r="AC91" s="142"/>
      <c r="AD91" s="142"/>
      <c r="AE91" s="142"/>
    </row>
    <row r="92" spans="1:31">
      <c r="A92" s="138"/>
      <c r="B92" s="139"/>
      <c r="C92" s="140"/>
      <c r="D92" s="179"/>
      <c r="F92" s="142"/>
      <c r="G92" s="142"/>
      <c r="H92" s="142"/>
      <c r="I92" s="142"/>
      <c r="J92" s="142"/>
      <c r="K92" s="142"/>
      <c r="L92" s="142"/>
      <c r="M92" s="142"/>
      <c r="N92" s="142"/>
      <c r="O92" s="142"/>
      <c r="P92" s="142"/>
      <c r="Q92" s="142"/>
      <c r="R92" s="142"/>
      <c r="S92" s="142"/>
      <c r="T92" s="142"/>
      <c r="U92" s="142"/>
      <c r="V92" s="142"/>
      <c r="W92" s="142"/>
      <c r="X92" s="142"/>
      <c r="Y92" s="142"/>
      <c r="Z92" s="142"/>
      <c r="AA92" s="142"/>
      <c r="AB92" s="142"/>
      <c r="AC92" s="142"/>
      <c r="AD92" s="142"/>
      <c r="AE92" s="142"/>
    </row>
    <row r="93" spans="1:31">
      <c r="A93" s="138"/>
      <c r="B93" s="139"/>
      <c r="C93" s="182" t="s">
        <v>118</v>
      </c>
      <c r="D93" s="186" t="s">
        <v>63</v>
      </c>
      <c r="F93" s="142"/>
      <c r="G93" s="142"/>
      <c r="H93" s="142"/>
      <c r="I93" s="142"/>
      <c r="J93" s="142"/>
      <c r="K93" s="142"/>
      <c r="L93" s="142"/>
      <c r="M93" s="142"/>
      <c r="N93" s="142"/>
      <c r="O93" s="142"/>
      <c r="P93" s="142"/>
      <c r="Q93" s="142"/>
      <c r="R93" s="142"/>
      <c r="S93" s="142"/>
      <c r="T93" s="142"/>
      <c r="U93" s="142"/>
      <c r="V93" s="142"/>
      <c r="W93" s="142"/>
      <c r="X93" s="142"/>
      <c r="Y93" s="142"/>
      <c r="Z93" s="142"/>
      <c r="AA93" s="142"/>
      <c r="AB93" s="142"/>
      <c r="AC93" s="142"/>
      <c r="AD93" s="142"/>
      <c r="AE93" s="142"/>
    </row>
    <row r="94" spans="1:31" ht="27">
      <c r="A94" s="138" t="s">
        <v>37</v>
      </c>
      <c r="B94" s="139">
        <v>9</v>
      </c>
      <c r="C94" s="140" t="s">
        <v>119</v>
      </c>
      <c r="D94" s="179"/>
      <c r="F94" s="142"/>
      <c r="G94" s="142"/>
      <c r="H94" s="142"/>
      <c r="I94" s="142"/>
      <c r="J94" s="142"/>
      <c r="K94" s="142"/>
      <c r="L94" s="142"/>
      <c r="M94" s="142"/>
      <c r="N94" s="142"/>
      <c r="O94" s="142"/>
      <c r="P94" s="142"/>
      <c r="Q94" s="142"/>
      <c r="R94" s="142"/>
      <c r="S94" s="142"/>
      <c r="T94" s="142"/>
      <c r="U94" s="142"/>
      <c r="V94" s="142"/>
      <c r="W94" s="142"/>
      <c r="X94" s="142"/>
      <c r="Y94" s="142"/>
      <c r="Z94" s="142"/>
      <c r="AA94" s="142"/>
      <c r="AB94" s="142"/>
      <c r="AC94" s="142"/>
      <c r="AD94" s="142"/>
      <c r="AE94" s="142"/>
    </row>
    <row r="95" spans="1:31" ht="40.5">
      <c r="A95" s="138" t="s">
        <v>38</v>
      </c>
      <c r="B95" s="139">
        <v>3</v>
      </c>
      <c r="C95" s="140" t="s">
        <v>120</v>
      </c>
      <c r="D95" s="123" t="s">
        <v>121</v>
      </c>
      <c r="F95" s="142"/>
      <c r="G95" s="142"/>
      <c r="H95" s="142"/>
      <c r="I95" s="142"/>
      <c r="J95" s="142"/>
      <c r="K95" s="142"/>
      <c r="L95" s="142"/>
      <c r="M95" s="142"/>
      <c r="N95" s="142"/>
      <c r="O95" s="142"/>
      <c r="P95" s="142"/>
      <c r="Q95" s="142"/>
      <c r="R95" s="142"/>
      <c r="S95" s="142"/>
      <c r="T95" s="142"/>
      <c r="U95" s="142"/>
      <c r="V95" s="142"/>
      <c r="W95" s="142"/>
      <c r="X95" s="142"/>
      <c r="Y95" s="142"/>
      <c r="Z95" s="142"/>
      <c r="AA95" s="142"/>
      <c r="AB95" s="142"/>
      <c r="AC95" s="142"/>
      <c r="AD95" s="142"/>
      <c r="AE95" s="142"/>
    </row>
    <row r="96" spans="1:31" ht="15" thickBot="1">
      <c r="A96" s="138"/>
      <c r="B96" s="139"/>
      <c r="C96" s="145"/>
      <c r="D96" s="143"/>
      <c r="F96" s="142"/>
      <c r="G96" s="142"/>
      <c r="H96" s="142"/>
      <c r="I96" s="142"/>
      <c r="J96" s="142"/>
      <c r="K96" s="142"/>
      <c r="L96" s="142"/>
      <c r="M96" s="142"/>
      <c r="N96" s="142"/>
      <c r="O96" s="142"/>
      <c r="P96" s="142"/>
      <c r="Q96" s="142"/>
      <c r="R96" s="142"/>
      <c r="S96" s="142"/>
      <c r="T96" s="142"/>
      <c r="U96" s="142"/>
      <c r="V96" s="142"/>
      <c r="W96" s="142"/>
      <c r="X96" s="142"/>
      <c r="Y96" s="142"/>
      <c r="Z96" s="142"/>
      <c r="AA96" s="142"/>
      <c r="AB96" s="142"/>
      <c r="AC96" s="142"/>
      <c r="AD96" s="142"/>
      <c r="AE96" s="142"/>
    </row>
    <row r="97" spans="1:31" s="142" customFormat="1" ht="15" thickBot="1">
      <c r="A97" s="147" t="s">
        <v>47</v>
      </c>
      <c r="B97" s="147">
        <f>SUM(B89:B95)</f>
        <v>24</v>
      </c>
      <c r="C97" s="148"/>
      <c r="D97" s="148"/>
      <c r="E97" s="141"/>
    </row>
    <row r="98" spans="1:31" ht="15" thickBot="1">
      <c r="A98" s="149"/>
      <c r="B98" s="149"/>
      <c r="C98" s="149"/>
      <c r="D98" s="149"/>
      <c r="F98" s="142"/>
      <c r="G98" s="142"/>
      <c r="H98" s="142"/>
      <c r="I98" s="142"/>
      <c r="J98" s="142"/>
      <c r="K98" s="142"/>
      <c r="L98" s="142"/>
      <c r="M98" s="142"/>
      <c r="N98" s="142"/>
      <c r="O98" s="142"/>
      <c r="P98" s="142"/>
      <c r="Q98" s="142"/>
      <c r="R98" s="142"/>
      <c r="S98" s="142"/>
      <c r="T98" s="142"/>
      <c r="U98" s="142"/>
      <c r="V98" s="142"/>
      <c r="W98" s="142"/>
      <c r="X98" s="142"/>
      <c r="Y98" s="142"/>
      <c r="Z98" s="142"/>
      <c r="AA98" s="142"/>
      <c r="AB98" s="142"/>
      <c r="AC98" s="142"/>
      <c r="AD98" s="142"/>
      <c r="AE98" s="142"/>
    </row>
    <row r="99" spans="1:31" ht="18.75" thickBot="1">
      <c r="A99" s="131" t="s">
        <v>41</v>
      </c>
      <c r="B99" s="132">
        <v>8</v>
      </c>
      <c r="C99" s="133"/>
      <c r="D99" s="152">
        <f>D87+21</f>
        <v>45663</v>
      </c>
      <c r="F99" s="142"/>
      <c r="G99" s="142"/>
      <c r="H99" s="142"/>
      <c r="I99" s="142"/>
      <c r="J99" s="142"/>
      <c r="K99" s="142"/>
      <c r="L99" s="142"/>
      <c r="M99" s="142"/>
      <c r="N99" s="142"/>
      <c r="O99" s="142"/>
      <c r="P99" s="142"/>
      <c r="Q99" s="142"/>
      <c r="R99" s="142"/>
      <c r="S99" s="142"/>
      <c r="T99" s="142"/>
      <c r="U99" s="142"/>
      <c r="V99" s="142"/>
      <c r="W99" s="142"/>
      <c r="X99" s="142"/>
      <c r="Y99" s="142"/>
      <c r="Z99" s="142"/>
      <c r="AA99" s="142"/>
      <c r="AB99" s="142"/>
      <c r="AC99" s="142"/>
      <c r="AD99" s="142"/>
      <c r="AE99" s="142"/>
    </row>
    <row r="100" spans="1:31" ht="26.25" thickBot="1">
      <c r="A100" s="136" t="s">
        <v>43</v>
      </c>
      <c r="B100" s="137" t="s">
        <v>49</v>
      </c>
      <c r="C100" s="136" t="s">
        <v>62</v>
      </c>
      <c r="D100" s="136" t="s">
        <v>46</v>
      </c>
      <c r="F100" s="142"/>
      <c r="G100" s="142"/>
      <c r="H100" s="142"/>
      <c r="I100" s="142"/>
      <c r="J100" s="142"/>
      <c r="K100" s="142"/>
      <c r="L100" s="142"/>
      <c r="M100" s="142"/>
      <c r="N100" s="142"/>
      <c r="O100" s="142"/>
      <c r="P100" s="142"/>
      <c r="Q100" s="142"/>
      <c r="R100" s="142"/>
      <c r="S100" s="142"/>
      <c r="T100" s="142"/>
      <c r="U100" s="142"/>
      <c r="V100" s="142"/>
      <c r="W100" s="142"/>
      <c r="X100" s="142"/>
      <c r="Y100" s="142"/>
      <c r="Z100" s="142"/>
      <c r="AA100" s="142"/>
      <c r="AB100" s="142"/>
      <c r="AC100" s="142"/>
      <c r="AD100" s="142"/>
      <c r="AE100" s="142"/>
    </row>
    <row r="101" spans="1:31">
      <c r="A101" s="138"/>
      <c r="B101" s="139"/>
      <c r="C101" s="140"/>
      <c r="D101" s="186" t="s">
        <v>63</v>
      </c>
      <c r="F101" s="142"/>
      <c r="G101" s="142"/>
      <c r="H101" s="142"/>
      <c r="I101" s="142"/>
      <c r="J101" s="142"/>
      <c r="K101" s="142"/>
      <c r="L101" s="142"/>
      <c r="M101" s="142"/>
      <c r="N101" s="142"/>
      <c r="O101" s="142"/>
      <c r="P101" s="142"/>
      <c r="Q101" s="142"/>
      <c r="R101" s="142"/>
      <c r="S101" s="142"/>
      <c r="T101" s="142"/>
      <c r="U101" s="142"/>
      <c r="V101" s="142"/>
      <c r="W101" s="142"/>
      <c r="X101" s="142"/>
      <c r="Y101" s="142"/>
      <c r="Z101" s="142"/>
      <c r="AA101" s="142"/>
      <c r="AB101" s="142"/>
      <c r="AC101" s="142"/>
      <c r="AD101" s="142"/>
      <c r="AE101" s="142"/>
    </row>
    <row r="102" spans="1:31" ht="27">
      <c r="A102" s="138" t="s">
        <v>38</v>
      </c>
      <c r="B102" s="139">
        <v>3</v>
      </c>
      <c r="C102" s="140" t="s">
        <v>122</v>
      </c>
      <c r="D102" s="179"/>
      <c r="F102" s="142"/>
      <c r="G102" s="142"/>
      <c r="H102" s="142"/>
      <c r="I102" s="142"/>
      <c r="J102" s="142"/>
      <c r="K102" s="142"/>
      <c r="L102" s="142"/>
      <c r="M102" s="142"/>
      <c r="N102" s="142"/>
      <c r="O102" s="142"/>
      <c r="P102" s="142"/>
      <c r="Q102" s="142"/>
      <c r="R102" s="142"/>
      <c r="S102" s="142"/>
      <c r="T102" s="142"/>
      <c r="U102" s="142"/>
      <c r="V102" s="142"/>
      <c r="W102" s="142"/>
      <c r="X102" s="142"/>
      <c r="Y102" s="142"/>
      <c r="Z102" s="142"/>
      <c r="AA102" s="142"/>
      <c r="AB102" s="142"/>
      <c r="AC102" s="142"/>
      <c r="AD102" s="142"/>
      <c r="AE102" s="142"/>
    </row>
    <row r="103" spans="1:31">
      <c r="A103" s="138" t="s">
        <v>38</v>
      </c>
      <c r="B103" s="139">
        <v>6</v>
      </c>
      <c r="C103" s="140" t="s">
        <v>123</v>
      </c>
      <c r="D103" s="179"/>
      <c r="F103" s="142"/>
      <c r="G103" s="142"/>
      <c r="H103" s="142"/>
      <c r="I103" s="142"/>
      <c r="J103" s="142"/>
      <c r="K103" s="142"/>
      <c r="L103" s="142"/>
      <c r="M103" s="142"/>
      <c r="N103" s="142"/>
      <c r="O103" s="142"/>
      <c r="P103" s="142"/>
      <c r="Q103" s="142"/>
      <c r="R103" s="142"/>
      <c r="S103" s="142"/>
      <c r="T103" s="142"/>
      <c r="U103" s="142"/>
      <c r="V103" s="142"/>
      <c r="W103" s="142"/>
      <c r="X103" s="142"/>
      <c r="Y103" s="142"/>
      <c r="Z103" s="142"/>
      <c r="AA103" s="142"/>
      <c r="AB103" s="142"/>
      <c r="AC103" s="142"/>
      <c r="AD103" s="142"/>
      <c r="AE103" s="142"/>
    </row>
    <row r="104" spans="1:31">
      <c r="A104" s="138" t="s">
        <v>38</v>
      </c>
      <c r="B104" s="139">
        <v>3</v>
      </c>
      <c r="C104" s="140" t="s">
        <v>124</v>
      </c>
      <c r="D104" s="121" t="s">
        <v>125</v>
      </c>
      <c r="F104" s="142"/>
      <c r="G104" s="142"/>
      <c r="H104" s="142"/>
      <c r="I104" s="142"/>
      <c r="J104" s="142"/>
      <c r="K104" s="142"/>
      <c r="L104" s="142"/>
      <c r="M104" s="142"/>
      <c r="N104" s="142"/>
      <c r="O104" s="142"/>
      <c r="P104" s="142"/>
      <c r="Q104" s="142"/>
      <c r="R104" s="142"/>
      <c r="S104" s="142"/>
      <c r="T104" s="142"/>
      <c r="U104" s="142"/>
      <c r="V104" s="142"/>
      <c r="W104" s="142"/>
      <c r="X104" s="142"/>
      <c r="Y104" s="142"/>
      <c r="Z104" s="142"/>
      <c r="AA104" s="142"/>
      <c r="AB104" s="142"/>
      <c r="AC104" s="142"/>
      <c r="AD104" s="142"/>
      <c r="AE104" s="142"/>
    </row>
    <row r="105" spans="1:31">
      <c r="A105" s="138"/>
      <c r="B105" s="139"/>
      <c r="C105" s="140"/>
      <c r="D105" s="143"/>
      <c r="F105" s="142"/>
      <c r="G105" s="142"/>
      <c r="H105" s="142"/>
      <c r="I105" s="142"/>
      <c r="J105" s="142"/>
      <c r="K105" s="142"/>
      <c r="L105" s="142"/>
      <c r="M105" s="142"/>
      <c r="N105" s="142"/>
      <c r="O105" s="142"/>
      <c r="P105" s="142"/>
      <c r="Q105" s="142"/>
      <c r="R105" s="142"/>
      <c r="S105" s="142"/>
      <c r="T105" s="142"/>
      <c r="U105" s="142"/>
      <c r="V105" s="142"/>
      <c r="W105" s="142"/>
      <c r="X105" s="142"/>
      <c r="Y105" s="142"/>
      <c r="Z105" s="142"/>
      <c r="AA105" s="142"/>
      <c r="AB105" s="142"/>
      <c r="AC105" s="142"/>
      <c r="AD105" s="142"/>
      <c r="AE105" s="142"/>
    </row>
    <row r="106" spans="1:31">
      <c r="A106" s="138"/>
      <c r="B106" s="139"/>
      <c r="C106" s="182" t="s">
        <v>126</v>
      </c>
      <c r="D106" s="186" t="s">
        <v>63</v>
      </c>
      <c r="F106" s="142"/>
      <c r="G106" s="142"/>
      <c r="H106" s="142"/>
      <c r="I106" s="142"/>
      <c r="J106" s="142"/>
      <c r="K106" s="142"/>
      <c r="L106" s="142"/>
      <c r="M106" s="142"/>
      <c r="N106" s="142"/>
      <c r="O106" s="142"/>
      <c r="P106" s="142"/>
      <c r="Q106" s="142"/>
      <c r="R106" s="142"/>
      <c r="S106" s="142"/>
      <c r="T106" s="142"/>
      <c r="U106" s="142"/>
      <c r="V106" s="142"/>
      <c r="W106" s="142"/>
      <c r="X106" s="142"/>
      <c r="Y106" s="142"/>
      <c r="Z106" s="142"/>
      <c r="AA106" s="142"/>
      <c r="AB106" s="142"/>
      <c r="AC106" s="142"/>
      <c r="AD106" s="142"/>
      <c r="AE106" s="142"/>
    </row>
    <row r="107" spans="1:31">
      <c r="A107" s="138" t="s">
        <v>38</v>
      </c>
      <c r="B107" s="139">
        <v>10</v>
      </c>
      <c r="C107" s="140" t="s">
        <v>127</v>
      </c>
      <c r="D107" s="121" t="s">
        <v>128</v>
      </c>
      <c r="F107" s="142"/>
      <c r="G107" s="142"/>
      <c r="H107" s="142"/>
      <c r="I107" s="142"/>
      <c r="J107" s="142"/>
      <c r="K107" s="142"/>
      <c r="L107" s="142"/>
      <c r="M107" s="142"/>
      <c r="N107" s="142"/>
      <c r="O107" s="142"/>
      <c r="P107" s="142"/>
      <c r="Q107" s="142"/>
      <c r="R107" s="142"/>
      <c r="S107" s="142"/>
      <c r="T107" s="142"/>
      <c r="U107" s="142"/>
      <c r="V107" s="142"/>
      <c r="W107" s="142"/>
      <c r="X107" s="142"/>
      <c r="Y107" s="142"/>
      <c r="Z107" s="142"/>
      <c r="AA107" s="142"/>
      <c r="AB107" s="142"/>
      <c r="AC107" s="142"/>
      <c r="AD107" s="142"/>
      <c r="AE107" s="142"/>
    </row>
    <row r="108" spans="1:31">
      <c r="A108" s="138" t="s">
        <v>38</v>
      </c>
      <c r="B108" s="139">
        <v>2</v>
      </c>
      <c r="C108" s="140" t="s">
        <v>129</v>
      </c>
      <c r="D108" s="183" t="s">
        <v>130</v>
      </c>
      <c r="F108" s="142"/>
      <c r="G108" s="142"/>
      <c r="H108" s="142"/>
      <c r="I108" s="142"/>
      <c r="J108" s="142"/>
      <c r="K108" s="142"/>
      <c r="L108" s="142"/>
      <c r="M108" s="142"/>
      <c r="N108" s="142"/>
      <c r="O108" s="142"/>
      <c r="P108" s="142"/>
      <c r="Q108" s="142"/>
      <c r="R108" s="142"/>
      <c r="S108" s="142"/>
      <c r="T108" s="142"/>
      <c r="U108" s="142"/>
      <c r="V108" s="142"/>
      <c r="W108" s="142"/>
      <c r="X108" s="142"/>
      <c r="Y108" s="142"/>
      <c r="Z108" s="142"/>
      <c r="AA108" s="142"/>
      <c r="AB108" s="142"/>
      <c r="AC108" s="142"/>
      <c r="AD108" s="142"/>
      <c r="AE108" s="142"/>
    </row>
    <row r="109" spans="1:31" ht="15" thickBot="1">
      <c r="A109" s="144"/>
      <c r="B109" s="144"/>
      <c r="C109" s="145"/>
      <c r="D109" s="146"/>
      <c r="F109" s="142"/>
      <c r="G109" s="142"/>
      <c r="H109" s="142"/>
      <c r="I109" s="142"/>
      <c r="J109" s="142"/>
      <c r="K109" s="142"/>
      <c r="L109" s="142"/>
      <c r="M109" s="142"/>
      <c r="N109" s="142"/>
      <c r="O109" s="142"/>
      <c r="P109" s="142"/>
      <c r="Q109" s="142"/>
      <c r="R109" s="142"/>
      <c r="S109" s="142"/>
      <c r="T109" s="142"/>
      <c r="U109" s="142"/>
      <c r="V109" s="142"/>
      <c r="W109" s="142"/>
      <c r="X109" s="142"/>
      <c r="Y109" s="142"/>
      <c r="Z109" s="142"/>
      <c r="AA109" s="142"/>
      <c r="AB109" s="142"/>
      <c r="AC109" s="142"/>
      <c r="AD109" s="142"/>
      <c r="AE109" s="142"/>
    </row>
    <row r="110" spans="1:31" s="142" customFormat="1" ht="15" thickBot="1">
      <c r="A110" s="147" t="s">
        <v>47</v>
      </c>
      <c r="B110" s="147">
        <f>SUM(B101:B109)</f>
        <v>24</v>
      </c>
      <c r="C110" s="148"/>
      <c r="D110" s="148"/>
      <c r="E110" s="141"/>
    </row>
    <row r="111" spans="1:31">
      <c r="A111" s="149"/>
      <c r="B111" s="149"/>
      <c r="C111" s="149"/>
      <c r="D111" s="149"/>
      <c r="F111" s="142"/>
      <c r="G111" s="142"/>
      <c r="H111" s="142"/>
      <c r="I111" s="142"/>
      <c r="J111" s="142"/>
      <c r="K111" s="142"/>
      <c r="L111" s="142"/>
      <c r="M111" s="142"/>
      <c r="N111" s="142"/>
      <c r="O111" s="142"/>
      <c r="P111" s="142"/>
      <c r="Q111" s="142"/>
      <c r="R111" s="142"/>
      <c r="S111" s="142"/>
      <c r="T111" s="142"/>
      <c r="U111" s="142"/>
      <c r="V111" s="142"/>
      <c r="W111" s="142"/>
      <c r="X111" s="142"/>
      <c r="Y111" s="142"/>
      <c r="Z111" s="142"/>
      <c r="AA111" s="142"/>
      <c r="AB111" s="142"/>
      <c r="AC111" s="142"/>
      <c r="AD111" s="142"/>
      <c r="AE111" s="142"/>
    </row>
    <row r="112" spans="1:31">
      <c r="F112" s="142"/>
      <c r="G112" s="142"/>
      <c r="H112" s="142"/>
      <c r="I112" s="142"/>
      <c r="J112" s="142"/>
      <c r="K112" s="142"/>
      <c r="L112" s="142"/>
      <c r="M112" s="142"/>
      <c r="N112" s="142"/>
      <c r="O112" s="142"/>
      <c r="P112" s="142"/>
      <c r="Q112" s="142"/>
      <c r="R112" s="142"/>
      <c r="S112" s="142"/>
      <c r="T112" s="142"/>
      <c r="U112" s="142"/>
      <c r="V112" s="142"/>
      <c r="W112" s="142"/>
      <c r="X112" s="142"/>
      <c r="Y112" s="142"/>
      <c r="Z112" s="142"/>
      <c r="AA112" s="142"/>
      <c r="AB112" s="142"/>
      <c r="AC112" s="142"/>
      <c r="AD112" s="142"/>
      <c r="AE112" s="142"/>
    </row>
    <row r="113" spans="6:31">
      <c r="F113" s="142"/>
      <c r="G113" s="142"/>
      <c r="H113" s="142"/>
      <c r="I113" s="142"/>
      <c r="J113" s="142"/>
      <c r="K113" s="142"/>
      <c r="L113" s="142"/>
      <c r="M113" s="142"/>
      <c r="N113" s="142"/>
      <c r="O113" s="142"/>
      <c r="P113" s="142"/>
      <c r="Q113" s="142"/>
      <c r="R113" s="142"/>
      <c r="S113" s="142"/>
      <c r="T113" s="142"/>
      <c r="U113" s="142"/>
      <c r="V113" s="142"/>
      <c r="W113" s="142"/>
      <c r="X113" s="142"/>
      <c r="Y113" s="142"/>
      <c r="Z113" s="142"/>
      <c r="AA113" s="142"/>
      <c r="AB113" s="142"/>
      <c r="AC113" s="142"/>
      <c r="AD113" s="142"/>
      <c r="AE113" s="142"/>
    </row>
    <row r="114" spans="6:31">
      <c r="F114" s="142"/>
      <c r="G114" s="142"/>
      <c r="H114" s="142"/>
      <c r="I114" s="142"/>
      <c r="J114" s="142"/>
      <c r="K114" s="142"/>
      <c r="L114" s="142"/>
      <c r="M114" s="142"/>
      <c r="N114" s="142"/>
      <c r="O114" s="142"/>
      <c r="P114" s="142"/>
      <c r="Q114" s="142"/>
      <c r="R114" s="142"/>
      <c r="S114" s="142"/>
      <c r="T114" s="142"/>
      <c r="U114" s="142"/>
      <c r="V114" s="142"/>
      <c r="W114" s="142"/>
      <c r="X114" s="142"/>
      <c r="Y114" s="142"/>
      <c r="Z114" s="142"/>
      <c r="AA114" s="142"/>
      <c r="AB114" s="142"/>
      <c r="AC114" s="142"/>
      <c r="AD114" s="142"/>
      <c r="AE114" s="142"/>
    </row>
    <row r="115" spans="6:31">
      <c r="F115" s="142"/>
      <c r="G115" s="142"/>
      <c r="H115" s="142"/>
      <c r="I115" s="142"/>
      <c r="J115" s="142"/>
      <c r="K115" s="142"/>
      <c r="L115" s="142"/>
      <c r="M115" s="142"/>
      <c r="N115" s="142"/>
      <c r="O115" s="142"/>
      <c r="P115" s="142"/>
      <c r="Q115" s="142"/>
      <c r="R115" s="142"/>
      <c r="S115" s="142"/>
      <c r="T115" s="142"/>
      <c r="U115" s="142"/>
      <c r="V115" s="142"/>
      <c r="W115" s="142"/>
      <c r="X115" s="142"/>
      <c r="Y115" s="142"/>
      <c r="Z115" s="142"/>
      <c r="AA115" s="142"/>
      <c r="AB115" s="142"/>
      <c r="AC115" s="142"/>
      <c r="AD115" s="142"/>
      <c r="AE115" s="142"/>
    </row>
    <row r="116" spans="6:31">
      <c r="F116" s="142"/>
      <c r="G116" s="142"/>
      <c r="H116" s="142"/>
      <c r="I116" s="142"/>
      <c r="J116" s="142"/>
      <c r="K116" s="142"/>
      <c r="L116" s="142"/>
      <c r="M116" s="142"/>
      <c r="N116" s="142"/>
      <c r="O116" s="142"/>
      <c r="P116" s="142"/>
      <c r="Q116" s="142"/>
      <c r="R116" s="142"/>
      <c r="S116" s="142"/>
      <c r="T116" s="142"/>
      <c r="U116" s="142"/>
      <c r="V116" s="142"/>
      <c r="W116" s="142"/>
      <c r="X116" s="142"/>
      <c r="Y116" s="142"/>
      <c r="Z116" s="142"/>
      <c r="AA116" s="142"/>
      <c r="AB116" s="142"/>
      <c r="AC116" s="142"/>
      <c r="AD116" s="142"/>
      <c r="AE116" s="142"/>
    </row>
    <row r="117" spans="6:31">
      <c r="F117" s="142"/>
      <c r="G117" s="142"/>
      <c r="H117" s="142"/>
      <c r="I117" s="142"/>
      <c r="J117" s="142"/>
      <c r="K117" s="142"/>
      <c r="L117" s="142"/>
      <c r="M117" s="142"/>
      <c r="N117" s="142"/>
      <c r="O117" s="142"/>
      <c r="P117" s="142"/>
      <c r="Q117" s="142"/>
      <c r="R117" s="142"/>
      <c r="S117" s="142"/>
      <c r="T117" s="142"/>
      <c r="U117" s="142"/>
      <c r="V117" s="142"/>
      <c r="W117" s="142"/>
      <c r="X117" s="142"/>
      <c r="Y117" s="142"/>
      <c r="Z117" s="142"/>
      <c r="AA117" s="142"/>
      <c r="AB117" s="142"/>
      <c r="AC117" s="142"/>
      <c r="AD117" s="142"/>
      <c r="AE117" s="142"/>
    </row>
    <row r="118" spans="6:31">
      <c r="F118" s="142"/>
      <c r="G118" s="142"/>
      <c r="H118" s="142"/>
      <c r="I118" s="142"/>
      <c r="J118" s="142"/>
      <c r="K118" s="142"/>
      <c r="L118" s="142"/>
      <c r="M118" s="142"/>
      <c r="N118" s="142"/>
      <c r="O118" s="142"/>
      <c r="P118" s="142"/>
      <c r="Q118" s="142"/>
      <c r="R118" s="142"/>
      <c r="S118" s="142"/>
      <c r="T118" s="142"/>
      <c r="U118" s="142"/>
      <c r="V118" s="142"/>
      <c r="W118" s="142"/>
      <c r="X118" s="142"/>
      <c r="Y118" s="142"/>
      <c r="Z118" s="142"/>
      <c r="AA118" s="142"/>
      <c r="AB118" s="142"/>
      <c r="AC118" s="142"/>
      <c r="AD118" s="142"/>
      <c r="AE118" s="142"/>
    </row>
    <row r="119" spans="6:31">
      <c r="F119" s="142"/>
      <c r="G119" s="142"/>
      <c r="H119" s="142"/>
      <c r="I119" s="142"/>
      <c r="J119" s="142"/>
      <c r="K119" s="142"/>
      <c r="L119" s="142"/>
      <c r="M119" s="142"/>
      <c r="N119" s="142"/>
      <c r="O119" s="142"/>
      <c r="P119" s="142"/>
      <c r="Q119" s="142"/>
      <c r="R119" s="142"/>
      <c r="S119" s="142"/>
      <c r="T119" s="142"/>
      <c r="U119" s="142"/>
      <c r="V119" s="142"/>
      <c r="W119" s="142"/>
      <c r="X119" s="142"/>
      <c r="Y119" s="142"/>
      <c r="Z119" s="142"/>
      <c r="AA119" s="142"/>
      <c r="AB119" s="142"/>
      <c r="AC119" s="142"/>
      <c r="AD119" s="142"/>
      <c r="AE119" s="142"/>
    </row>
    <row r="120" spans="6:31">
      <c r="F120" s="142"/>
      <c r="G120" s="142"/>
      <c r="H120" s="142"/>
      <c r="I120" s="142"/>
      <c r="J120" s="142"/>
      <c r="K120" s="142"/>
      <c r="L120" s="142"/>
      <c r="M120" s="142"/>
      <c r="N120" s="142"/>
      <c r="O120" s="142"/>
      <c r="P120" s="142"/>
      <c r="Q120" s="142"/>
      <c r="R120" s="142"/>
      <c r="S120" s="142"/>
      <c r="T120" s="142"/>
      <c r="U120" s="142"/>
      <c r="V120" s="142"/>
      <c r="W120" s="142"/>
      <c r="X120" s="142"/>
      <c r="Y120" s="142"/>
      <c r="Z120" s="142"/>
      <c r="AA120" s="142"/>
      <c r="AB120" s="142"/>
      <c r="AC120" s="142"/>
      <c r="AD120" s="142"/>
      <c r="AE120" s="142"/>
    </row>
    <row r="121" spans="6:31">
      <c r="F121" s="142"/>
      <c r="G121" s="142"/>
      <c r="H121" s="142"/>
      <c r="I121" s="142"/>
      <c r="J121" s="142"/>
      <c r="K121" s="142"/>
      <c r="L121" s="142"/>
      <c r="M121" s="142"/>
      <c r="N121" s="142"/>
      <c r="O121" s="142"/>
      <c r="P121" s="142"/>
      <c r="Q121" s="142"/>
      <c r="R121" s="142"/>
      <c r="S121" s="142"/>
      <c r="T121" s="142"/>
      <c r="U121" s="142"/>
      <c r="V121" s="142"/>
      <c r="W121" s="142"/>
      <c r="X121" s="142"/>
      <c r="Y121" s="142"/>
      <c r="Z121" s="142"/>
      <c r="AA121" s="142"/>
      <c r="AB121" s="142"/>
      <c r="AC121" s="142"/>
      <c r="AD121" s="142"/>
      <c r="AE121" s="142"/>
    </row>
    <row r="122" spans="6:31">
      <c r="F122" s="142"/>
      <c r="G122" s="142"/>
      <c r="H122" s="142"/>
      <c r="I122" s="142"/>
      <c r="J122" s="142"/>
      <c r="K122" s="142"/>
      <c r="L122" s="142"/>
      <c r="M122" s="142"/>
      <c r="N122" s="142"/>
      <c r="O122" s="142"/>
      <c r="P122" s="142"/>
      <c r="Q122" s="142"/>
      <c r="R122" s="142"/>
      <c r="S122" s="142"/>
      <c r="T122" s="142"/>
      <c r="U122" s="142"/>
      <c r="V122" s="142"/>
      <c r="W122" s="142"/>
      <c r="X122" s="142"/>
      <c r="Y122" s="142"/>
      <c r="Z122" s="142"/>
      <c r="AA122" s="142"/>
      <c r="AB122" s="142"/>
      <c r="AC122" s="142"/>
      <c r="AD122" s="142"/>
      <c r="AE122" s="142"/>
    </row>
    <row r="123" spans="6:31">
      <c r="F123" s="142"/>
      <c r="G123" s="142"/>
      <c r="H123" s="142"/>
      <c r="I123" s="142"/>
      <c r="J123" s="142"/>
      <c r="K123" s="142"/>
      <c r="L123" s="142"/>
      <c r="M123" s="142"/>
      <c r="N123" s="142"/>
      <c r="O123" s="142"/>
      <c r="P123" s="142"/>
      <c r="Q123" s="142"/>
      <c r="R123" s="142"/>
      <c r="S123" s="142"/>
      <c r="T123" s="142"/>
      <c r="U123" s="142"/>
      <c r="V123" s="142"/>
      <c r="W123" s="142"/>
      <c r="X123" s="142"/>
      <c r="Y123" s="142"/>
      <c r="Z123" s="142"/>
      <c r="AA123" s="142"/>
      <c r="AB123" s="142"/>
      <c r="AC123" s="142"/>
      <c r="AD123" s="142"/>
      <c r="AE123" s="142"/>
    </row>
    <row r="124" spans="6:31">
      <c r="F124" s="142"/>
      <c r="G124" s="142"/>
      <c r="H124" s="142"/>
      <c r="I124" s="142"/>
      <c r="J124" s="142"/>
      <c r="K124" s="142"/>
      <c r="L124" s="142"/>
      <c r="M124" s="142"/>
      <c r="N124" s="142"/>
      <c r="O124" s="142"/>
      <c r="P124" s="142"/>
      <c r="Q124" s="142"/>
      <c r="R124" s="142"/>
      <c r="S124" s="142"/>
      <c r="T124" s="142"/>
      <c r="U124" s="142"/>
      <c r="V124" s="142"/>
      <c r="W124" s="142"/>
      <c r="X124" s="142"/>
      <c r="Y124" s="142"/>
      <c r="Z124" s="142"/>
      <c r="AA124" s="142"/>
      <c r="AB124" s="142"/>
      <c r="AC124" s="142"/>
      <c r="AD124" s="142"/>
      <c r="AE124" s="142"/>
    </row>
    <row r="125" spans="6:31">
      <c r="F125" s="142"/>
      <c r="G125" s="142"/>
      <c r="H125" s="142"/>
      <c r="I125" s="142"/>
      <c r="J125" s="142"/>
      <c r="K125" s="142"/>
      <c r="L125" s="142"/>
      <c r="M125" s="142"/>
      <c r="N125" s="142"/>
      <c r="O125" s="142"/>
      <c r="P125" s="142"/>
      <c r="Q125" s="142"/>
      <c r="R125" s="142"/>
      <c r="S125" s="142"/>
      <c r="T125" s="142"/>
      <c r="U125" s="142"/>
      <c r="V125" s="142"/>
      <c r="W125" s="142"/>
      <c r="X125" s="142"/>
      <c r="Y125" s="142"/>
      <c r="Z125" s="142"/>
      <c r="AA125" s="142"/>
      <c r="AB125" s="142"/>
      <c r="AC125" s="142"/>
      <c r="AD125" s="142"/>
      <c r="AE125" s="142"/>
    </row>
    <row r="126" spans="6:31">
      <c r="F126" s="142"/>
      <c r="G126" s="142"/>
      <c r="H126" s="142"/>
      <c r="I126" s="142"/>
      <c r="J126" s="142"/>
      <c r="K126" s="142"/>
      <c r="L126" s="142"/>
      <c r="M126" s="142"/>
      <c r="N126" s="142"/>
      <c r="O126" s="142"/>
      <c r="P126" s="142"/>
      <c r="Q126" s="142"/>
      <c r="R126" s="142"/>
      <c r="S126" s="142"/>
      <c r="T126" s="142"/>
      <c r="U126" s="142"/>
      <c r="V126" s="142"/>
      <c r="W126" s="142"/>
      <c r="X126" s="142"/>
      <c r="Y126" s="142"/>
      <c r="Z126" s="142"/>
      <c r="AA126" s="142"/>
      <c r="AB126" s="142"/>
      <c r="AC126" s="142"/>
      <c r="AD126" s="142"/>
      <c r="AE126" s="142"/>
    </row>
    <row r="127" spans="6:31">
      <c r="F127" s="142"/>
      <c r="G127" s="142"/>
      <c r="H127" s="142"/>
      <c r="I127" s="142"/>
      <c r="J127" s="142"/>
      <c r="K127" s="142"/>
      <c r="L127" s="142"/>
      <c r="M127" s="142"/>
      <c r="N127" s="142"/>
      <c r="O127" s="142"/>
      <c r="P127" s="142"/>
      <c r="Q127" s="142"/>
      <c r="R127" s="142"/>
      <c r="S127" s="142"/>
      <c r="T127" s="142"/>
      <c r="U127" s="142"/>
      <c r="V127" s="142"/>
      <c r="W127" s="142"/>
      <c r="X127" s="142"/>
      <c r="Y127" s="142"/>
      <c r="Z127" s="142"/>
      <c r="AA127" s="142"/>
      <c r="AB127" s="142"/>
      <c r="AC127" s="142"/>
      <c r="AD127" s="142"/>
      <c r="AE127" s="142"/>
    </row>
    <row r="128" spans="6:31">
      <c r="F128" s="142"/>
      <c r="G128" s="142"/>
      <c r="H128" s="142"/>
      <c r="I128" s="142"/>
      <c r="J128" s="142"/>
      <c r="K128" s="142"/>
      <c r="L128" s="142"/>
      <c r="M128" s="142"/>
      <c r="N128" s="142"/>
      <c r="O128" s="142"/>
      <c r="P128" s="142"/>
      <c r="Q128" s="142"/>
      <c r="R128" s="142"/>
      <c r="S128" s="142"/>
      <c r="T128" s="142"/>
      <c r="U128" s="142"/>
      <c r="V128" s="142"/>
      <c r="W128" s="142"/>
      <c r="X128" s="142"/>
      <c r="Y128" s="142"/>
      <c r="Z128" s="142"/>
      <c r="AA128" s="142"/>
      <c r="AB128" s="142"/>
      <c r="AC128" s="142"/>
      <c r="AD128" s="142"/>
      <c r="AE128" s="142"/>
    </row>
    <row r="129" spans="6:31">
      <c r="F129" s="142"/>
      <c r="G129" s="142"/>
      <c r="H129" s="142"/>
      <c r="I129" s="142"/>
      <c r="J129" s="142"/>
      <c r="K129" s="142"/>
      <c r="L129" s="142"/>
      <c r="M129" s="142"/>
      <c r="N129" s="142"/>
      <c r="O129" s="142"/>
      <c r="P129" s="142"/>
      <c r="Q129" s="142"/>
      <c r="R129" s="142"/>
      <c r="S129" s="142"/>
      <c r="T129" s="142"/>
      <c r="U129" s="142"/>
      <c r="V129" s="142"/>
      <c r="W129" s="142"/>
      <c r="X129" s="142"/>
      <c r="Y129" s="142"/>
      <c r="Z129" s="142"/>
      <c r="AA129" s="142"/>
      <c r="AB129" s="142"/>
      <c r="AC129" s="142"/>
      <c r="AD129" s="142"/>
      <c r="AE129" s="142"/>
    </row>
    <row r="130" spans="6:31">
      <c r="F130" s="142"/>
      <c r="G130" s="142"/>
      <c r="H130" s="142"/>
      <c r="I130" s="142"/>
      <c r="J130" s="142"/>
      <c r="K130" s="142"/>
      <c r="L130" s="142"/>
      <c r="M130" s="142"/>
      <c r="N130" s="142"/>
      <c r="O130" s="142"/>
      <c r="P130" s="142"/>
      <c r="Q130" s="142"/>
      <c r="R130" s="142"/>
      <c r="S130" s="142"/>
      <c r="T130" s="142"/>
      <c r="U130" s="142"/>
      <c r="V130" s="142"/>
      <c r="W130" s="142"/>
      <c r="X130" s="142"/>
      <c r="Y130" s="142"/>
      <c r="Z130" s="142"/>
      <c r="AA130" s="142"/>
      <c r="AB130" s="142"/>
      <c r="AC130" s="142"/>
      <c r="AD130" s="142"/>
      <c r="AE130" s="142"/>
    </row>
    <row r="131" spans="6:31">
      <c r="F131" s="142"/>
      <c r="G131" s="142"/>
      <c r="H131" s="142"/>
      <c r="I131" s="142"/>
      <c r="J131" s="142"/>
      <c r="K131" s="142"/>
      <c r="L131" s="142"/>
      <c r="M131" s="142"/>
      <c r="N131" s="142"/>
      <c r="O131" s="142"/>
      <c r="P131" s="142"/>
      <c r="Q131" s="142"/>
      <c r="R131" s="142"/>
      <c r="S131" s="142"/>
      <c r="T131" s="142"/>
      <c r="U131" s="142"/>
      <c r="V131" s="142"/>
      <c r="W131" s="142"/>
      <c r="X131" s="142"/>
      <c r="Y131" s="142"/>
      <c r="Z131" s="142"/>
      <c r="AA131" s="142"/>
      <c r="AB131" s="142"/>
      <c r="AC131" s="142"/>
      <c r="AD131" s="142"/>
      <c r="AE131" s="142"/>
    </row>
    <row r="132" spans="6:31">
      <c r="F132" s="142"/>
      <c r="G132" s="142"/>
      <c r="H132" s="142"/>
      <c r="I132" s="142"/>
      <c r="J132" s="142"/>
      <c r="K132" s="142"/>
      <c r="L132" s="142"/>
      <c r="M132" s="142"/>
      <c r="N132" s="142"/>
      <c r="O132" s="142"/>
      <c r="P132" s="142"/>
      <c r="Q132" s="142"/>
      <c r="R132" s="142"/>
      <c r="S132" s="142"/>
      <c r="T132" s="142"/>
      <c r="U132" s="142"/>
      <c r="V132" s="142"/>
      <c r="W132" s="142"/>
      <c r="X132" s="142"/>
      <c r="Y132" s="142"/>
      <c r="Z132" s="142"/>
      <c r="AA132" s="142"/>
      <c r="AB132" s="142"/>
      <c r="AC132" s="142"/>
      <c r="AD132" s="142"/>
      <c r="AE132" s="142"/>
    </row>
    <row r="133" spans="6:31">
      <c r="F133" s="142"/>
      <c r="G133" s="142"/>
      <c r="H133" s="142"/>
      <c r="I133" s="142"/>
      <c r="J133" s="142"/>
      <c r="K133" s="142"/>
      <c r="L133" s="142"/>
      <c r="M133" s="142"/>
      <c r="N133" s="142"/>
      <c r="O133" s="142"/>
      <c r="P133" s="142"/>
      <c r="Q133" s="142"/>
      <c r="R133" s="142"/>
      <c r="S133" s="142"/>
      <c r="T133" s="142"/>
      <c r="U133" s="142"/>
      <c r="V133" s="142"/>
      <c r="W133" s="142"/>
      <c r="X133" s="142"/>
      <c r="Y133" s="142"/>
      <c r="Z133" s="142"/>
      <c r="AA133" s="142"/>
      <c r="AB133" s="142"/>
      <c r="AC133" s="142"/>
      <c r="AD133" s="142"/>
      <c r="AE133" s="142"/>
    </row>
    <row r="134" spans="6:31">
      <c r="F134" s="142"/>
      <c r="G134" s="142"/>
      <c r="H134" s="142"/>
      <c r="I134" s="142"/>
      <c r="J134" s="142"/>
      <c r="K134" s="142"/>
      <c r="L134" s="142"/>
      <c r="M134" s="142"/>
      <c r="N134" s="142"/>
      <c r="O134" s="142"/>
      <c r="P134" s="142"/>
      <c r="Q134" s="142"/>
      <c r="R134" s="142"/>
      <c r="S134" s="142"/>
      <c r="T134" s="142"/>
      <c r="U134" s="142"/>
      <c r="V134" s="142"/>
      <c r="W134" s="142"/>
      <c r="X134" s="142"/>
      <c r="Y134" s="142"/>
      <c r="Z134" s="142"/>
      <c r="AA134" s="142"/>
      <c r="AB134" s="142"/>
      <c r="AC134" s="142"/>
      <c r="AD134" s="142"/>
      <c r="AE134" s="142"/>
    </row>
    <row r="135" spans="6:31">
      <c r="F135" s="142"/>
      <c r="G135" s="142"/>
      <c r="H135" s="142"/>
      <c r="I135" s="142"/>
      <c r="J135" s="142"/>
      <c r="K135" s="142"/>
      <c r="L135" s="142"/>
      <c r="M135" s="142"/>
      <c r="N135" s="142"/>
      <c r="O135" s="142"/>
      <c r="P135" s="142"/>
      <c r="Q135" s="142"/>
      <c r="R135" s="142"/>
      <c r="S135" s="142"/>
      <c r="T135" s="142"/>
      <c r="U135" s="142"/>
      <c r="V135" s="142"/>
      <c r="W135" s="142"/>
      <c r="X135" s="142"/>
      <c r="Y135" s="142"/>
      <c r="Z135" s="142"/>
      <c r="AA135" s="142"/>
      <c r="AB135" s="142"/>
      <c r="AC135" s="142"/>
      <c r="AD135" s="142"/>
      <c r="AE135" s="142"/>
    </row>
    <row r="136" spans="6:31">
      <c r="F136" s="142"/>
      <c r="G136" s="142"/>
      <c r="H136" s="142"/>
      <c r="I136" s="142"/>
      <c r="J136" s="142"/>
      <c r="K136" s="142"/>
      <c r="L136" s="142"/>
      <c r="M136" s="142"/>
      <c r="N136" s="142"/>
      <c r="O136" s="142"/>
      <c r="P136" s="142"/>
      <c r="Q136" s="142"/>
      <c r="R136" s="142"/>
      <c r="S136" s="142"/>
      <c r="T136" s="142"/>
      <c r="U136" s="142"/>
      <c r="V136" s="142"/>
      <c r="W136" s="142"/>
      <c r="X136" s="142"/>
      <c r="Y136" s="142"/>
      <c r="Z136" s="142"/>
      <c r="AA136" s="142"/>
      <c r="AB136" s="142"/>
      <c r="AC136" s="142"/>
      <c r="AD136" s="142"/>
      <c r="AE136" s="142"/>
    </row>
    <row r="137" spans="6:31">
      <c r="F137" s="142"/>
      <c r="G137" s="142"/>
      <c r="H137" s="142"/>
      <c r="I137" s="142"/>
      <c r="J137" s="142"/>
      <c r="K137" s="142"/>
      <c r="L137" s="142"/>
      <c r="M137" s="142"/>
      <c r="N137" s="142"/>
      <c r="O137" s="142"/>
      <c r="P137" s="142"/>
      <c r="Q137" s="142"/>
      <c r="R137" s="142"/>
      <c r="S137" s="142"/>
      <c r="T137" s="142"/>
      <c r="U137" s="142"/>
      <c r="V137" s="142"/>
      <c r="W137" s="142"/>
      <c r="X137" s="142"/>
      <c r="Y137" s="142"/>
      <c r="Z137" s="142"/>
      <c r="AA137" s="142"/>
      <c r="AB137" s="142"/>
      <c r="AC137" s="142"/>
      <c r="AD137" s="142"/>
      <c r="AE137" s="142"/>
    </row>
    <row r="138" spans="6:31">
      <c r="F138" s="142"/>
      <c r="G138" s="142"/>
      <c r="H138" s="142"/>
      <c r="I138" s="142"/>
      <c r="J138" s="142"/>
      <c r="K138" s="142"/>
      <c r="L138" s="142"/>
      <c r="M138" s="142"/>
      <c r="N138" s="142"/>
      <c r="O138" s="142"/>
      <c r="P138" s="142"/>
      <c r="Q138" s="142"/>
      <c r="R138" s="142"/>
      <c r="S138" s="142"/>
      <c r="T138" s="142"/>
      <c r="U138" s="142"/>
      <c r="V138" s="142"/>
      <c r="W138" s="142"/>
      <c r="X138" s="142"/>
      <c r="Y138" s="142"/>
      <c r="Z138" s="142"/>
      <c r="AA138" s="142"/>
      <c r="AB138" s="142"/>
      <c r="AC138" s="142"/>
      <c r="AD138" s="142"/>
      <c r="AE138" s="142"/>
    </row>
    <row r="139" spans="6:31">
      <c r="F139" s="142"/>
      <c r="G139" s="142"/>
      <c r="H139" s="142"/>
      <c r="I139" s="142"/>
      <c r="J139" s="142"/>
      <c r="K139" s="142"/>
      <c r="L139" s="142"/>
      <c r="M139" s="142"/>
      <c r="N139" s="142"/>
      <c r="O139" s="142"/>
      <c r="P139" s="142"/>
      <c r="Q139" s="142"/>
      <c r="R139" s="142"/>
      <c r="S139" s="142"/>
      <c r="T139" s="142"/>
      <c r="U139" s="142"/>
      <c r="V139" s="142"/>
      <c r="W139" s="142"/>
      <c r="X139" s="142"/>
      <c r="Y139" s="142"/>
      <c r="Z139" s="142"/>
      <c r="AA139" s="142"/>
      <c r="AB139" s="142"/>
      <c r="AC139" s="142"/>
      <c r="AD139" s="142"/>
      <c r="AE139" s="142"/>
    </row>
    <row r="140" spans="6:31">
      <c r="F140" s="142"/>
      <c r="G140" s="142"/>
      <c r="H140" s="142"/>
      <c r="I140" s="142"/>
      <c r="J140" s="142"/>
      <c r="K140" s="142"/>
      <c r="L140" s="142"/>
      <c r="M140" s="142"/>
      <c r="N140" s="142"/>
      <c r="O140" s="142"/>
      <c r="P140" s="142"/>
      <c r="Q140" s="142"/>
      <c r="R140" s="142"/>
      <c r="S140" s="142"/>
      <c r="T140" s="142"/>
      <c r="U140" s="142"/>
      <c r="V140" s="142"/>
      <c r="W140" s="142"/>
      <c r="X140" s="142"/>
      <c r="Y140" s="142"/>
      <c r="Z140" s="142"/>
      <c r="AA140" s="142"/>
      <c r="AB140" s="142"/>
      <c r="AC140" s="142"/>
      <c r="AD140" s="142"/>
      <c r="AE140" s="142"/>
    </row>
    <row r="141" spans="6:31">
      <c r="F141" s="142"/>
      <c r="G141" s="142"/>
      <c r="H141" s="142"/>
      <c r="I141" s="142"/>
      <c r="J141" s="142"/>
      <c r="K141" s="142"/>
      <c r="L141" s="142"/>
      <c r="M141" s="142"/>
      <c r="N141" s="142"/>
      <c r="O141" s="142"/>
      <c r="P141" s="142"/>
      <c r="Q141" s="142"/>
      <c r="R141" s="142"/>
      <c r="S141" s="142"/>
      <c r="T141" s="142"/>
      <c r="U141" s="142"/>
      <c r="V141" s="142"/>
      <c r="W141" s="142"/>
      <c r="X141" s="142"/>
      <c r="Y141" s="142"/>
      <c r="Z141" s="142"/>
      <c r="AA141" s="142"/>
      <c r="AB141" s="142"/>
      <c r="AC141" s="142"/>
      <c r="AD141" s="142"/>
      <c r="AE141" s="142"/>
    </row>
    <row r="142" spans="6:31">
      <c r="F142" s="142"/>
      <c r="G142" s="142"/>
      <c r="H142" s="142"/>
      <c r="I142" s="142"/>
      <c r="J142" s="142"/>
      <c r="K142" s="142"/>
      <c r="L142" s="142"/>
      <c r="M142" s="142"/>
      <c r="N142" s="142"/>
      <c r="O142" s="142"/>
      <c r="P142" s="142"/>
      <c r="Q142" s="142"/>
      <c r="R142" s="142"/>
      <c r="S142" s="142"/>
      <c r="T142" s="142"/>
      <c r="U142" s="142"/>
      <c r="V142" s="142"/>
      <c r="W142" s="142"/>
      <c r="X142" s="142"/>
      <c r="Y142" s="142"/>
      <c r="Z142" s="142"/>
      <c r="AA142" s="142"/>
      <c r="AB142" s="142"/>
      <c r="AC142" s="142"/>
      <c r="AD142" s="142"/>
      <c r="AE142" s="142"/>
    </row>
    <row r="143" spans="6:31">
      <c r="F143" s="142"/>
      <c r="G143" s="142"/>
      <c r="H143" s="142"/>
      <c r="I143" s="142"/>
      <c r="J143" s="142"/>
      <c r="K143" s="142"/>
      <c r="L143" s="142"/>
      <c r="M143" s="142"/>
      <c r="N143" s="142"/>
      <c r="O143" s="142"/>
      <c r="P143" s="142"/>
      <c r="Q143" s="142"/>
      <c r="R143" s="142"/>
      <c r="S143" s="142"/>
      <c r="T143" s="142"/>
      <c r="U143" s="142"/>
      <c r="V143" s="142"/>
      <c r="W143" s="142"/>
      <c r="X143" s="142"/>
      <c r="Y143" s="142"/>
      <c r="Z143" s="142"/>
      <c r="AA143" s="142"/>
      <c r="AB143" s="142"/>
      <c r="AC143" s="142"/>
      <c r="AD143" s="142"/>
      <c r="AE143" s="142"/>
    </row>
    <row r="144" spans="6:31">
      <c r="F144" s="142"/>
      <c r="G144" s="142"/>
      <c r="H144" s="142"/>
      <c r="I144" s="142"/>
      <c r="J144" s="142"/>
      <c r="K144" s="142"/>
      <c r="L144" s="142"/>
      <c r="M144" s="142"/>
      <c r="N144" s="142"/>
      <c r="O144" s="142"/>
      <c r="P144" s="142"/>
      <c r="Q144" s="142"/>
      <c r="R144" s="142"/>
      <c r="S144" s="142"/>
      <c r="T144" s="142"/>
      <c r="U144" s="142"/>
      <c r="V144" s="142"/>
      <c r="W144" s="142"/>
      <c r="X144" s="142"/>
      <c r="Y144" s="142"/>
      <c r="Z144" s="142"/>
      <c r="AA144" s="142"/>
      <c r="AB144" s="142"/>
      <c r="AC144" s="142"/>
      <c r="AD144" s="142"/>
      <c r="AE144" s="142"/>
    </row>
    <row r="145" spans="6:31">
      <c r="F145" s="142"/>
      <c r="G145" s="142"/>
      <c r="H145" s="142"/>
      <c r="I145" s="142"/>
      <c r="J145" s="142"/>
      <c r="K145" s="142"/>
      <c r="L145" s="142"/>
      <c r="M145" s="142"/>
      <c r="N145" s="142"/>
      <c r="O145" s="142"/>
      <c r="P145" s="142"/>
      <c r="Q145" s="142"/>
      <c r="R145" s="142"/>
      <c r="S145" s="142"/>
      <c r="T145" s="142"/>
      <c r="U145" s="142"/>
      <c r="V145" s="142"/>
      <c r="W145" s="142"/>
      <c r="X145" s="142"/>
      <c r="Y145" s="142"/>
      <c r="Z145" s="142"/>
      <c r="AA145" s="142"/>
      <c r="AB145" s="142"/>
      <c r="AC145" s="142"/>
      <c r="AD145" s="142"/>
      <c r="AE145" s="142"/>
    </row>
    <row r="146" spans="6:31">
      <c r="F146" s="142"/>
      <c r="G146" s="142"/>
      <c r="H146" s="142"/>
      <c r="I146" s="142"/>
      <c r="J146" s="142"/>
      <c r="K146" s="142"/>
      <c r="L146" s="142"/>
      <c r="M146" s="142"/>
      <c r="N146" s="142"/>
      <c r="O146" s="142"/>
      <c r="P146" s="142"/>
      <c r="Q146" s="142"/>
      <c r="R146" s="142"/>
      <c r="S146" s="142"/>
      <c r="T146" s="142"/>
      <c r="U146" s="142"/>
      <c r="V146" s="142"/>
      <c r="W146" s="142"/>
      <c r="X146" s="142"/>
      <c r="Y146" s="142"/>
      <c r="Z146" s="142"/>
      <c r="AA146" s="142"/>
      <c r="AB146" s="142"/>
      <c r="AC146" s="142"/>
      <c r="AD146" s="142"/>
      <c r="AE146" s="142"/>
    </row>
    <row r="147" spans="6:31">
      <c r="F147" s="142"/>
      <c r="G147" s="142"/>
      <c r="H147" s="142"/>
      <c r="I147" s="142"/>
      <c r="J147" s="142"/>
      <c r="K147" s="142"/>
      <c r="L147" s="142"/>
      <c r="M147" s="142"/>
      <c r="N147" s="142"/>
      <c r="O147" s="142"/>
      <c r="P147" s="142"/>
      <c r="Q147" s="142"/>
      <c r="R147" s="142"/>
      <c r="S147" s="142"/>
      <c r="T147" s="142"/>
      <c r="U147" s="142"/>
      <c r="V147" s="142"/>
      <c r="W147" s="142"/>
      <c r="X147" s="142"/>
      <c r="Y147" s="142"/>
      <c r="Z147" s="142"/>
      <c r="AA147" s="142"/>
      <c r="AB147" s="142"/>
      <c r="AC147" s="142"/>
      <c r="AD147" s="142"/>
      <c r="AE147" s="142"/>
    </row>
    <row r="148" spans="6:31">
      <c r="F148" s="142"/>
      <c r="G148" s="142"/>
      <c r="H148" s="142"/>
      <c r="I148" s="142"/>
      <c r="J148" s="142"/>
      <c r="K148" s="142"/>
      <c r="L148" s="142"/>
      <c r="M148" s="142"/>
      <c r="N148" s="142"/>
      <c r="O148" s="142"/>
      <c r="P148" s="142"/>
      <c r="Q148" s="142"/>
      <c r="R148" s="142"/>
      <c r="S148" s="142"/>
      <c r="T148" s="142"/>
      <c r="U148" s="142"/>
      <c r="V148" s="142"/>
      <c r="W148" s="142"/>
      <c r="X148" s="142"/>
      <c r="Y148" s="142"/>
      <c r="Z148" s="142"/>
      <c r="AA148" s="142"/>
      <c r="AB148" s="142"/>
      <c r="AC148" s="142"/>
      <c r="AD148" s="142"/>
      <c r="AE148" s="142"/>
    </row>
    <row r="149" spans="6:31">
      <c r="F149" s="142"/>
      <c r="G149" s="142"/>
      <c r="H149" s="142"/>
      <c r="I149" s="142"/>
      <c r="J149" s="142"/>
      <c r="K149" s="142"/>
      <c r="L149" s="142"/>
      <c r="M149" s="142"/>
      <c r="N149" s="142"/>
      <c r="O149" s="142"/>
      <c r="P149" s="142"/>
      <c r="Q149" s="142"/>
      <c r="R149" s="142"/>
      <c r="S149" s="142"/>
      <c r="T149" s="142"/>
      <c r="U149" s="142"/>
      <c r="V149" s="142"/>
      <c r="W149" s="142"/>
      <c r="X149" s="142"/>
      <c r="Y149" s="142"/>
      <c r="Z149" s="142"/>
      <c r="AA149" s="142"/>
      <c r="AB149" s="142"/>
      <c r="AC149" s="142"/>
      <c r="AD149" s="142"/>
      <c r="AE149" s="142"/>
    </row>
    <row r="150" spans="6:31">
      <c r="F150" s="142"/>
      <c r="G150" s="142"/>
      <c r="H150" s="142"/>
      <c r="I150" s="142"/>
      <c r="J150" s="142"/>
      <c r="K150" s="142"/>
      <c r="L150" s="142"/>
      <c r="M150" s="142"/>
      <c r="N150" s="142"/>
      <c r="O150" s="142"/>
      <c r="P150" s="142"/>
      <c r="Q150" s="142"/>
      <c r="R150" s="142"/>
      <c r="S150" s="142"/>
      <c r="T150" s="142"/>
      <c r="U150" s="142"/>
      <c r="V150" s="142"/>
      <c r="W150" s="142"/>
      <c r="X150" s="142"/>
      <c r="Y150" s="142"/>
      <c r="Z150" s="142"/>
      <c r="AA150" s="142"/>
      <c r="AB150" s="142"/>
      <c r="AC150" s="142"/>
      <c r="AD150" s="142"/>
      <c r="AE150" s="142"/>
    </row>
    <row r="151" spans="6:31">
      <c r="F151" s="142"/>
      <c r="G151" s="142"/>
      <c r="H151" s="142"/>
      <c r="I151" s="142"/>
      <c r="J151" s="142"/>
      <c r="K151" s="142"/>
      <c r="L151" s="142"/>
      <c r="M151" s="142"/>
      <c r="N151" s="142"/>
      <c r="O151" s="142"/>
      <c r="P151" s="142"/>
      <c r="Q151" s="142"/>
      <c r="R151" s="142"/>
      <c r="S151" s="142"/>
      <c r="T151" s="142"/>
      <c r="U151" s="142"/>
      <c r="V151" s="142"/>
      <c r="W151" s="142"/>
      <c r="X151" s="142"/>
      <c r="Y151" s="142"/>
      <c r="Z151" s="142"/>
      <c r="AA151" s="142"/>
      <c r="AB151" s="142"/>
      <c r="AC151" s="142"/>
      <c r="AD151" s="142"/>
      <c r="AE151" s="142"/>
    </row>
    <row r="152" spans="6:31">
      <c r="F152" s="142"/>
      <c r="G152" s="142"/>
      <c r="H152" s="142"/>
      <c r="I152" s="142"/>
      <c r="J152" s="142"/>
      <c r="K152" s="142"/>
      <c r="L152" s="142"/>
      <c r="M152" s="142"/>
      <c r="N152" s="142"/>
      <c r="O152" s="142"/>
      <c r="P152" s="142"/>
      <c r="Q152" s="142"/>
      <c r="R152" s="142"/>
      <c r="S152" s="142"/>
      <c r="T152" s="142"/>
      <c r="U152" s="142"/>
      <c r="V152" s="142"/>
      <c r="W152" s="142"/>
      <c r="X152" s="142"/>
      <c r="Y152" s="142"/>
      <c r="Z152" s="142"/>
      <c r="AA152" s="142"/>
      <c r="AB152" s="142"/>
      <c r="AC152" s="142"/>
      <c r="AD152" s="142"/>
      <c r="AE152" s="142"/>
    </row>
    <row r="153" spans="6:31">
      <c r="F153" s="142"/>
      <c r="G153" s="142"/>
      <c r="H153" s="142"/>
      <c r="I153" s="142"/>
      <c r="J153" s="142"/>
      <c r="K153" s="142"/>
      <c r="L153" s="142"/>
      <c r="M153" s="142"/>
      <c r="N153" s="142"/>
      <c r="O153" s="142"/>
      <c r="P153" s="142"/>
      <c r="Q153" s="142"/>
      <c r="R153" s="142"/>
      <c r="S153" s="142"/>
      <c r="T153" s="142"/>
      <c r="U153" s="142"/>
      <c r="V153" s="142"/>
      <c r="W153" s="142"/>
      <c r="X153" s="142"/>
      <c r="Y153" s="142"/>
      <c r="Z153" s="142"/>
      <c r="AA153" s="142"/>
      <c r="AB153" s="142"/>
      <c r="AC153" s="142"/>
      <c r="AD153" s="142"/>
      <c r="AE153" s="142"/>
    </row>
    <row r="154" spans="6:31">
      <c r="F154" s="142"/>
      <c r="G154" s="142"/>
      <c r="H154" s="142"/>
      <c r="I154" s="142"/>
      <c r="J154" s="142"/>
      <c r="K154" s="142"/>
      <c r="L154" s="142"/>
      <c r="M154" s="142"/>
      <c r="N154" s="142"/>
      <c r="O154" s="142"/>
      <c r="P154" s="142"/>
      <c r="Q154" s="142"/>
      <c r="R154" s="142"/>
      <c r="S154" s="142"/>
      <c r="T154" s="142"/>
      <c r="U154" s="142"/>
      <c r="V154" s="142"/>
      <c r="W154" s="142"/>
      <c r="X154" s="142"/>
      <c r="Y154" s="142"/>
      <c r="Z154" s="142"/>
      <c r="AA154" s="142"/>
      <c r="AB154" s="142"/>
      <c r="AC154" s="142"/>
      <c r="AD154" s="142"/>
      <c r="AE154" s="142"/>
    </row>
    <row r="155" spans="6:31">
      <c r="F155" s="142"/>
      <c r="G155" s="142"/>
      <c r="H155" s="142"/>
      <c r="I155" s="142"/>
      <c r="J155" s="142"/>
      <c r="K155" s="142"/>
      <c r="L155" s="142"/>
      <c r="M155" s="142"/>
      <c r="N155" s="142"/>
      <c r="O155" s="142"/>
      <c r="P155" s="142"/>
      <c r="Q155" s="142"/>
      <c r="R155" s="142"/>
      <c r="S155" s="142"/>
      <c r="T155" s="142"/>
      <c r="U155" s="142"/>
      <c r="V155" s="142"/>
      <c r="W155" s="142"/>
      <c r="X155" s="142"/>
      <c r="Y155" s="142"/>
      <c r="Z155" s="142"/>
      <c r="AA155" s="142"/>
      <c r="AB155" s="142"/>
      <c r="AC155" s="142"/>
      <c r="AD155" s="142"/>
      <c r="AE155" s="142"/>
    </row>
    <row r="156" spans="6:31">
      <c r="F156" s="142"/>
      <c r="G156" s="142"/>
      <c r="H156" s="142"/>
      <c r="I156" s="142"/>
      <c r="J156" s="142"/>
      <c r="K156" s="142"/>
      <c r="L156" s="142"/>
      <c r="M156" s="142"/>
      <c r="N156" s="142"/>
      <c r="O156" s="142"/>
      <c r="P156" s="142"/>
      <c r="Q156" s="142"/>
      <c r="R156" s="142"/>
      <c r="S156" s="142"/>
      <c r="T156" s="142"/>
      <c r="U156" s="142"/>
      <c r="V156" s="142"/>
      <c r="W156" s="142"/>
      <c r="X156" s="142"/>
      <c r="Y156" s="142"/>
      <c r="Z156" s="142"/>
      <c r="AA156" s="142"/>
      <c r="AB156" s="142"/>
      <c r="AC156" s="142"/>
      <c r="AD156" s="142"/>
      <c r="AE156" s="142"/>
    </row>
    <row r="157" spans="6:31">
      <c r="F157" s="142"/>
      <c r="G157" s="142"/>
      <c r="H157" s="142"/>
      <c r="I157" s="142"/>
      <c r="J157" s="142"/>
      <c r="K157" s="142"/>
      <c r="L157" s="142"/>
      <c r="M157" s="142"/>
      <c r="N157" s="142"/>
      <c r="O157" s="142"/>
      <c r="P157" s="142"/>
      <c r="Q157" s="142"/>
      <c r="R157" s="142"/>
      <c r="S157" s="142"/>
      <c r="T157" s="142"/>
      <c r="U157" s="142"/>
      <c r="V157" s="142"/>
      <c r="W157" s="142"/>
      <c r="X157" s="142"/>
      <c r="Y157" s="142"/>
      <c r="Z157" s="142"/>
      <c r="AA157" s="142"/>
      <c r="AB157" s="142"/>
      <c r="AC157" s="142"/>
      <c r="AD157" s="142"/>
      <c r="AE157" s="142"/>
    </row>
    <row r="158" spans="6:31">
      <c r="F158" s="142"/>
      <c r="G158" s="142"/>
      <c r="H158" s="142"/>
      <c r="I158" s="142"/>
      <c r="J158" s="142"/>
      <c r="K158" s="142"/>
      <c r="L158" s="142"/>
      <c r="M158" s="142"/>
      <c r="N158" s="142"/>
      <c r="O158" s="142"/>
      <c r="P158" s="142"/>
      <c r="Q158" s="142"/>
      <c r="R158" s="142"/>
      <c r="S158" s="142"/>
      <c r="T158" s="142"/>
      <c r="U158" s="142"/>
      <c r="V158" s="142"/>
      <c r="W158" s="142"/>
      <c r="X158" s="142"/>
      <c r="Y158" s="142"/>
      <c r="Z158" s="142"/>
      <c r="AA158" s="142"/>
      <c r="AB158" s="142"/>
      <c r="AC158" s="142"/>
      <c r="AD158" s="142"/>
      <c r="AE158" s="142"/>
    </row>
    <row r="159" spans="6:31">
      <c r="F159" s="142"/>
      <c r="G159" s="142"/>
      <c r="H159" s="142"/>
      <c r="I159" s="142"/>
      <c r="J159" s="142"/>
      <c r="K159" s="142"/>
      <c r="L159" s="142"/>
      <c r="M159" s="142"/>
      <c r="N159" s="142"/>
      <c r="O159" s="142"/>
      <c r="P159" s="142"/>
      <c r="Q159" s="142"/>
      <c r="R159" s="142"/>
      <c r="S159" s="142"/>
      <c r="T159" s="142"/>
      <c r="U159" s="142"/>
      <c r="V159" s="142"/>
      <c r="W159" s="142"/>
      <c r="X159" s="142"/>
      <c r="Y159" s="142"/>
      <c r="Z159" s="142"/>
      <c r="AA159" s="142"/>
      <c r="AB159" s="142"/>
      <c r="AC159" s="142"/>
      <c r="AD159" s="142"/>
      <c r="AE159" s="142"/>
    </row>
    <row r="160" spans="6:31">
      <c r="F160" s="142"/>
      <c r="G160" s="142"/>
      <c r="H160" s="142"/>
      <c r="I160" s="142"/>
      <c r="J160" s="142"/>
      <c r="K160" s="142"/>
      <c r="L160" s="142"/>
      <c r="M160" s="142"/>
      <c r="N160" s="142"/>
      <c r="O160" s="142"/>
      <c r="P160" s="142"/>
      <c r="Q160" s="142"/>
      <c r="R160" s="142"/>
      <c r="S160" s="142"/>
      <c r="T160" s="142"/>
      <c r="U160" s="142"/>
      <c r="V160" s="142"/>
      <c r="W160" s="142"/>
      <c r="X160" s="142"/>
      <c r="Y160" s="142"/>
      <c r="Z160" s="142"/>
      <c r="AA160" s="142"/>
      <c r="AB160" s="142"/>
      <c r="AC160" s="142"/>
      <c r="AD160" s="142"/>
      <c r="AE160" s="142"/>
    </row>
    <row r="161" spans="6:31">
      <c r="F161" s="142"/>
      <c r="G161" s="142"/>
      <c r="H161" s="142"/>
      <c r="I161" s="142"/>
      <c r="J161" s="142"/>
      <c r="K161" s="142"/>
      <c r="L161" s="142"/>
      <c r="M161" s="142"/>
      <c r="N161" s="142"/>
      <c r="O161" s="142"/>
      <c r="P161" s="142"/>
      <c r="Q161" s="142"/>
      <c r="R161" s="142"/>
      <c r="S161" s="142"/>
      <c r="T161" s="142"/>
      <c r="U161" s="142"/>
      <c r="V161" s="142"/>
      <c r="W161" s="142"/>
      <c r="X161" s="142"/>
      <c r="Y161" s="142"/>
      <c r="Z161" s="142"/>
      <c r="AA161" s="142"/>
      <c r="AB161" s="142"/>
      <c r="AC161" s="142"/>
      <c r="AD161" s="142"/>
      <c r="AE161" s="142"/>
    </row>
    <row r="162" spans="6:31">
      <c r="F162" s="142"/>
      <c r="G162" s="142"/>
      <c r="H162" s="142"/>
      <c r="I162" s="142"/>
      <c r="J162" s="142"/>
      <c r="K162" s="142"/>
      <c r="L162" s="142"/>
      <c r="M162" s="142"/>
      <c r="N162" s="142"/>
      <c r="O162" s="142"/>
      <c r="P162" s="142"/>
      <c r="Q162" s="142"/>
      <c r="R162" s="142"/>
      <c r="S162" s="142"/>
      <c r="T162" s="142"/>
      <c r="U162" s="142"/>
      <c r="V162" s="142"/>
      <c r="W162" s="142"/>
      <c r="X162" s="142"/>
      <c r="Y162" s="142"/>
      <c r="Z162" s="142"/>
      <c r="AA162" s="142"/>
      <c r="AB162" s="142"/>
      <c r="AC162" s="142"/>
      <c r="AD162" s="142"/>
      <c r="AE162" s="142"/>
    </row>
    <row r="163" spans="6:31">
      <c r="F163" s="142"/>
      <c r="G163" s="142"/>
      <c r="H163" s="142"/>
      <c r="I163" s="142"/>
      <c r="J163" s="142"/>
      <c r="K163" s="142"/>
      <c r="L163" s="142"/>
      <c r="M163" s="142"/>
      <c r="N163" s="142"/>
      <c r="O163" s="142"/>
      <c r="P163" s="142"/>
      <c r="Q163" s="142"/>
      <c r="R163" s="142"/>
      <c r="S163" s="142"/>
      <c r="T163" s="142"/>
      <c r="U163" s="142"/>
      <c r="V163" s="142"/>
      <c r="W163" s="142"/>
      <c r="X163" s="142"/>
      <c r="Y163" s="142"/>
      <c r="Z163" s="142"/>
      <c r="AA163" s="142"/>
      <c r="AB163" s="142"/>
      <c r="AC163" s="142"/>
      <c r="AD163" s="142"/>
      <c r="AE163" s="142"/>
    </row>
    <row r="164" spans="6:31">
      <c r="F164" s="142"/>
      <c r="G164" s="142"/>
      <c r="H164" s="142"/>
      <c r="I164" s="142"/>
      <c r="J164" s="142"/>
      <c r="K164" s="142"/>
      <c r="L164" s="142"/>
      <c r="M164" s="142"/>
      <c r="N164" s="142"/>
      <c r="O164" s="142"/>
      <c r="P164" s="142"/>
      <c r="Q164" s="142"/>
      <c r="R164" s="142"/>
      <c r="S164" s="142"/>
      <c r="T164" s="142"/>
      <c r="U164" s="142"/>
      <c r="V164" s="142"/>
      <c r="W164" s="142"/>
      <c r="X164" s="142"/>
      <c r="Y164" s="142"/>
      <c r="Z164" s="142"/>
      <c r="AA164" s="142"/>
      <c r="AB164" s="142"/>
      <c r="AC164" s="142"/>
      <c r="AD164" s="142"/>
      <c r="AE164" s="142"/>
    </row>
    <row r="165" spans="6:31">
      <c r="F165" s="142"/>
      <c r="G165" s="142"/>
      <c r="H165" s="142"/>
      <c r="I165" s="142"/>
      <c r="J165" s="142"/>
      <c r="K165" s="142"/>
      <c r="L165" s="142"/>
      <c r="M165" s="142"/>
      <c r="N165" s="142"/>
      <c r="O165" s="142"/>
      <c r="P165" s="142"/>
      <c r="Q165" s="142"/>
      <c r="R165" s="142"/>
      <c r="S165" s="142"/>
      <c r="T165" s="142"/>
      <c r="U165" s="142"/>
      <c r="V165" s="142"/>
      <c r="W165" s="142"/>
      <c r="X165" s="142"/>
      <c r="Y165" s="142"/>
      <c r="Z165" s="142"/>
      <c r="AA165" s="142"/>
      <c r="AB165" s="142"/>
      <c r="AC165" s="142"/>
      <c r="AD165" s="142"/>
      <c r="AE165" s="142"/>
    </row>
    <row r="166" spans="6:31">
      <c r="F166" s="142"/>
      <c r="G166" s="142"/>
      <c r="H166" s="142"/>
      <c r="I166" s="142"/>
      <c r="J166" s="142"/>
      <c r="K166" s="142"/>
      <c r="L166" s="142"/>
      <c r="M166" s="142"/>
      <c r="N166" s="142"/>
      <c r="O166" s="142"/>
      <c r="P166" s="142"/>
      <c r="Q166" s="142"/>
      <c r="R166" s="142"/>
      <c r="S166" s="142"/>
      <c r="T166" s="142"/>
      <c r="U166" s="142"/>
      <c r="V166" s="142"/>
      <c r="W166" s="142"/>
      <c r="X166" s="142"/>
      <c r="Y166" s="142"/>
      <c r="Z166" s="142"/>
      <c r="AA166" s="142"/>
      <c r="AB166" s="142"/>
      <c r="AC166" s="142"/>
      <c r="AD166" s="142"/>
      <c r="AE166" s="142"/>
    </row>
    <row r="167" spans="6:31">
      <c r="F167" s="142"/>
      <c r="G167" s="142"/>
      <c r="H167" s="142"/>
      <c r="I167" s="142"/>
      <c r="J167" s="142"/>
      <c r="K167" s="142"/>
      <c r="L167" s="142"/>
      <c r="M167" s="142"/>
      <c r="N167" s="142"/>
      <c r="O167" s="142"/>
      <c r="P167" s="142"/>
      <c r="Q167" s="142"/>
      <c r="R167" s="142"/>
      <c r="S167" s="142"/>
      <c r="T167" s="142"/>
      <c r="U167" s="142"/>
      <c r="V167" s="142"/>
      <c r="W167" s="142"/>
      <c r="X167" s="142"/>
      <c r="Y167" s="142"/>
      <c r="Z167" s="142"/>
      <c r="AA167" s="142"/>
      <c r="AB167" s="142"/>
      <c r="AC167" s="142"/>
      <c r="AD167" s="142"/>
      <c r="AE167" s="142"/>
    </row>
    <row r="168" spans="6:31">
      <c r="F168" s="142"/>
      <c r="G168" s="142"/>
      <c r="H168" s="142"/>
      <c r="I168" s="142"/>
      <c r="J168" s="142"/>
      <c r="K168" s="142"/>
      <c r="L168" s="142"/>
      <c r="M168" s="142"/>
      <c r="N168" s="142"/>
      <c r="O168" s="142"/>
      <c r="P168" s="142"/>
      <c r="Q168" s="142"/>
      <c r="R168" s="142"/>
      <c r="S168" s="142"/>
      <c r="T168" s="142"/>
      <c r="U168" s="142"/>
      <c r="V168" s="142"/>
      <c r="W168" s="142"/>
      <c r="X168" s="142"/>
      <c r="Y168" s="142"/>
      <c r="Z168" s="142"/>
      <c r="AA168" s="142"/>
      <c r="AB168" s="142"/>
      <c r="AC168" s="142"/>
      <c r="AD168" s="142"/>
      <c r="AE168" s="142"/>
    </row>
    <row r="169" spans="6:31">
      <c r="F169" s="142"/>
      <c r="G169" s="142"/>
      <c r="H169" s="142"/>
      <c r="I169" s="142"/>
      <c r="J169" s="142"/>
      <c r="K169" s="142"/>
      <c r="L169" s="142"/>
      <c r="M169" s="142"/>
      <c r="N169" s="142"/>
      <c r="O169" s="142"/>
      <c r="P169" s="142"/>
      <c r="Q169" s="142"/>
      <c r="R169" s="142"/>
      <c r="S169" s="142"/>
      <c r="T169" s="142"/>
      <c r="U169" s="142"/>
      <c r="V169" s="142"/>
      <c r="W169" s="142"/>
      <c r="X169" s="142"/>
      <c r="Y169" s="142"/>
      <c r="Z169" s="142"/>
      <c r="AA169" s="142"/>
      <c r="AB169" s="142"/>
      <c r="AC169" s="142"/>
      <c r="AD169" s="142"/>
      <c r="AE169" s="142"/>
    </row>
    <row r="170" spans="6:31">
      <c r="F170" s="142"/>
      <c r="G170" s="142"/>
      <c r="H170" s="142"/>
      <c r="I170" s="142"/>
      <c r="J170" s="142"/>
      <c r="K170" s="142"/>
      <c r="L170" s="142"/>
      <c r="M170" s="142"/>
      <c r="N170" s="142"/>
      <c r="O170" s="142"/>
      <c r="P170" s="142"/>
      <c r="Q170" s="142"/>
      <c r="R170" s="142"/>
      <c r="S170" s="142"/>
      <c r="T170" s="142"/>
      <c r="U170" s="142"/>
      <c r="V170" s="142"/>
      <c r="W170" s="142"/>
      <c r="X170" s="142"/>
      <c r="Y170" s="142"/>
      <c r="Z170" s="142"/>
      <c r="AA170" s="142"/>
      <c r="AB170" s="142"/>
      <c r="AC170" s="142"/>
      <c r="AD170" s="142"/>
      <c r="AE170" s="142"/>
    </row>
    <row r="171" spans="6:31">
      <c r="F171" s="142"/>
      <c r="G171" s="142"/>
      <c r="H171" s="142"/>
      <c r="I171" s="142"/>
      <c r="J171" s="142"/>
      <c r="K171" s="142"/>
      <c r="L171" s="142"/>
      <c r="M171" s="142"/>
      <c r="N171" s="142"/>
      <c r="O171" s="142"/>
      <c r="P171" s="142"/>
      <c r="Q171" s="142"/>
      <c r="R171" s="142"/>
      <c r="S171" s="142"/>
      <c r="T171" s="142"/>
      <c r="U171" s="142"/>
      <c r="V171" s="142"/>
      <c r="W171" s="142"/>
      <c r="X171" s="142"/>
      <c r="Y171" s="142"/>
      <c r="Z171" s="142"/>
      <c r="AA171" s="142"/>
      <c r="AB171" s="142"/>
      <c r="AC171" s="142"/>
      <c r="AD171" s="142"/>
      <c r="AE171" s="142"/>
    </row>
    <row r="172" spans="6:31">
      <c r="F172" s="142"/>
      <c r="G172" s="142"/>
      <c r="H172" s="142"/>
      <c r="I172" s="142"/>
      <c r="J172" s="142"/>
      <c r="K172" s="142"/>
      <c r="L172" s="142"/>
      <c r="M172" s="142"/>
      <c r="N172" s="142"/>
      <c r="O172" s="142"/>
      <c r="P172" s="142"/>
      <c r="Q172" s="142"/>
      <c r="R172" s="142"/>
      <c r="S172" s="142"/>
      <c r="T172" s="142"/>
      <c r="U172" s="142"/>
      <c r="V172" s="142"/>
      <c r="W172" s="142"/>
      <c r="X172" s="142"/>
      <c r="Y172" s="142"/>
      <c r="Z172" s="142"/>
      <c r="AA172" s="142"/>
      <c r="AB172" s="142"/>
      <c r="AC172" s="142"/>
      <c r="AD172" s="142"/>
      <c r="AE172" s="142"/>
    </row>
    <row r="173" spans="6:31">
      <c r="F173" s="142"/>
      <c r="G173" s="142"/>
      <c r="H173" s="142"/>
      <c r="I173" s="142"/>
      <c r="J173" s="142"/>
      <c r="K173" s="142"/>
      <c r="L173" s="142"/>
      <c r="M173" s="142"/>
      <c r="N173" s="142"/>
      <c r="O173" s="142"/>
      <c r="P173" s="142"/>
      <c r="Q173" s="142"/>
      <c r="R173" s="142"/>
      <c r="S173" s="142"/>
      <c r="T173" s="142"/>
      <c r="U173" s="142"/>
      <c r="V173" s="142"/>
      <c r="W173" s="142"/>
      <c r="X173" s="142"/>
      <c r="Y173" s="142"/>
      <c r="Z173" s="142"/>
      <c r="AA173" s="142"/>
      <c r="AB173" s="142"/>
      <c r="AC173" s="142"/>
      <c r="AD173" s="142"/>
      <c r="AE173" s="142"/>
    </row>
    <row r="174" spans="6:31">
      <c r="F174" s="142"/>
      <c r="G174" s="142"/>
      <c r="H174" s="142"/>
      <c r="I174" s="142"/>
      <c r="J174" s="142"/>
      <c r="K174" s="142"/>
      <c r="L174" s="142"/>
      <c r="M174" s="142"/>
      <c r="N174" s="142"/>
      <c r="O174" s="142"/>
      <c r="P174" s="142"/>
      <c r="Q174" s="142"/>
      <c r="R174" s="142"/>
      <c r="S174" s="142"/>
      <c r="T174" s="142"/>
      <c r="U174" s="142"/>
      <c r="V174" s="142"/>
      <c r="W174" s="142"/>
      <c r="X174" s="142"/>
      <c r="Y174" s="142"/>
      <c r="Z174" s="142"/>
      <c r="AA174" s="142"/>
      <c r="AB174" s="142"/>
      <c r="AC174" s="142"/>
      <c r="AD174" s="142"/>
      <c r="AE174" s="142"/>
    </row>
    <row r="175" spans="6:31">
      <c r="F175" s="142"/>
      <c r="G175" s="142"/>
      <c r="H175" s="142"/>
      <c r="I175" s="142"/>
      <c r="J175" s="142"/>
      <c r="K175" s="142"/>
      <c r="L175" s="142"/>
      <c r="M175" s="142"/>
      <c r="N175" s="142"/>
      <c r="O175" s="142"/>
      <c r="P175" s="142"/>
      <c r="Q175" s="142"/>
      <c r="R175" s="142"/>
      <c r="S175" s="142"/>
      <c r="T175" s="142"/>
      <c r="U175" s="142"/>
      <c r="V175" s="142"/>
      <c r="W175" s="142"/>
      <c r="X175" s="142"/>
      <c r="Y175" s="142"/>
      <c r="Z175" s="142"/>
      <c r="AA175" s="142"/>
      <c r="AB175" s="142"/>
      <c r="AC175" s="142"/>
      <c r="AD175" s="142"/>
      <c r="AE175" s="142"/>
    </row>
    <row r="176" spans="6:31">
      <c r="F176" s="142"/>
      <c r="G176" s="142"/>
      <c r="H176" s="142"/>
      <c r="I176" s="142"/>
      <c r="J176" s="142"/>
      <c r="K176" s="142"/>
      <c r="L176" s="142"/>
      <c r="M176" s="142"/>
      <c r="N176" s="142"/>
      <c r="O176" s="142"/>
      <c r="P176" s="142"/>
      <c r="Q176" s="142"/>
      <c r="R176" s="142"/>
      <c r="S176" s="142"/>
      <c r="T176" s="142"/>
      <c r="U176" s="142"/>
      <c r="V176" s="142"/>
      <c r="W176" s="142"/>
      <c r="X176" s="142"/>
      <c r="Y176" s="142"/>
      <c r="Z176" s="142"/>
      <c r="AA176" s="142"/>
      <c r="AB176" s="142"/>
      <c r="AC176" s="142"/>
      <c r="AD176" s="142"/>
      <c r="AE176" s="142"/>
    </row>
    <row r="177" spans="6:31">
      <c r="F177" s="142"/>
      <c r="G177" s="142"/>
      <c r="H177" s="142"/>
      <c r="I177" s="142"/>
      <c r="J177" s="142"/>
      <c r="K177" s="142"/>
      <c r="L177" s="142"/>
      <c r="M177" s="142"/>
      <c r="N177" s="142"/>
      <c r="O177" s="142"/>
      <c r="P177" s="142"/>
      <c r="Q177" s="142"/>
      <c r="R177" s="142"/>
      <c r="S177" s="142"/>
      <c r="T177" s="142"/>
      <c r="U177" s="142"/>
      <c r="V177" s="142"/>
      <c r="W177" s="142"/>
      <c r="X177" s="142"/>
      <c r="Y177" s="142"/>
      <c r="Z177" s="142"/>
      <c r="AA177" s="142"/>
      <c r="AB177" s="142"/>
      <c r="AC177" s="142"/>
      <c r="AD177" s="142"/>
      <c r="AE177" s="142"/>
    </row>
    <row r="178" spans="6:31">
      <c r="F178" s="142"/>
      <c r="G178" s="142"/>
      <c r="H178" s="142"/>
      <c r="I178" s="142"/>
      <c r="J178" s="142"/>
      <c r="K178" s="142"/>
      <c r="L178" s="142"/>
      <c r="M178" s="142"/>
      <c r="N178" s="142"/>
      <c r="O178" s="142"/>
      <c r="P178" s="142"/>
      <c r="Q178" s="142"/>
      <c r="R178" s="142"/>
      <c r="S178" s="142"/>
      <c r="T178" s="142"/>
      <c r="U178" s="142"/>
      <c r="V178" s="142"/>
      <c r="W178" s="142"/>
      <c r="X178" s="142"/>
      <c r="Y178" s="142"/>
      <c r="Z178" s="142"/>
      <c r="AA178" s="142"/>
      <c r="AB178" s="142"/>
      <c r="AC178" s="142"/>
      <c r="AD178" s="142"/>
      <c r="AE178" s="142"/>
    </row>
    <row r="179" spans="6:31">
      <c r="F179" s="142"/>
      <c r="G179" s="142"/>
      <c r="H179" s="142"/>
      <c r="I179" s="142"/>
      <c r="J179" s="142"/>
      <c r="K179" s="142"/>
      <c r="L179" s="142"/>
      <c r="M179" s="142"/>
      <c r="N179" s="142"/>
      <c r="O179" s="142"/>
      <c r="P179" s="142"/>
      <c r="Q179" s="142"/>
      <c r="R179" s="142"/>
      <c r="S179" s="142"/>
      <c r="T179" s="142"/>
      <c r="U179" s="142"/>
      <c r="V179" s="142"/>
      <c r="W179" s="142"/>
      <c r="X179" s="142"/>
      <c r="Y179" s="142"/>
      <c r="Z179" s="142"/>
      <c r="AA179" s="142"/>
      <c r="AB179" s="142"/>
      <c r="AC179" s="142"/>
      <c r="AD179" s="142"/>
      <c r="AE179" s="142"/>
    </row>
    <row r="180" spans="6:31">
      <c r="F180" s="142"/>
      <c r="G180" s="142"/>
      <c r="H180" s="142"/>
      <c r="I180" s="142"/>
      <c r="J180" s="142"/>
      <c r="K180" s="142"/>
      <c r="L180" s="142"/>
      <c r="M180" s="142"/>
      <c r="N180" s="142"/>
      <c r="O180" s="142"/>
      <c r="P180" s="142"/>
      <c r="Q180" s="142"/>
      <c r="R180" s="142"/>
      <c r="S180" s="142"/>
      <c r="T180" s="142"/>
      <c r="U180" s="142"/>
      <c r="V180" s="142"/>
      <c r="W180" s="142"/>
      <c r="X180" s="142"/>
      <c r="Y180" s="142"/>
      <c r="Z180" s="142"/>
      <c r="AA180" s="142"/>
      <c r="AB180" s="142"/>
      <c r="AC180" s="142"/>
      <c r="AD180" s="142"/>
      <c r="AE180" s="142"/>
    </row>
    <row r="181" spans="6:31">
      <c r="F181" s="142"/>
      <c r="G181" s="142"/>
      <c r="H181" s="142"/>
      <c r="I181" s="142"/>
      <c r="J181" s="142"/>
      <c r="K181" s="142"/>
      <c r="L181" s="142"/>
      <c r="M181" s="142"/>
      <c r="N181" s="142"/>
      <c r="O181" s="142"/>
      <c r="P181" s="142"/>
      <c r="Q181" s="142"/>
      <c r="R181" s="142"/>
      <c r="S181" s="142"/>
      <c r="T181" s="142"/>
      <c r="U181" s="142"/>
      <c r="V181" s="142"/>
      <c r="W181" s="142"/>
      <c r="X181" s="142"/>
      <c r="Y181" s="142"/>
      <c r="Z181" s="142"/>
      <c r="AA181" s="142"/>
      <c r="AB181" s="142"/>
      <c r="AC181" s="142"/>
      <c r="AD181" s="142"/>
      <c r="AE181" s="142"/>
    </row>
    <row r="182" spans="6:31">
      <c r="F182" s="142"/>
      <c r="G182" s="142"/>
      <c r="H182" s="142"/>
      <c r="I182" s="142"/>
      <c r="J182" s="142"/>
      <c r="K182" s="142"/>
      <c r="L182" s="142"/>
      <c r="M182" s="142"/>
      <c r="N182" s="142"/>
      <c r="O182" s="142"/>
      <c r="P182" s="142"/>
      <c r="Q182" s="142"/>
      <c r="R182" s="142"/>
      <c r="S182" s="142"/>
      <c r="T182" s="142"/>
      <c r="U182" s="142"/>
      <c r="V182" s="142"/>
      <c r="W182" s="142"/>
      <c r="X182" s="142"/>
      <c r="Y182" s="142"/>
      <c r="Z182" s="142"/>
      <c r="AA182" s="142"/>
      <c r="AB182" s="142"/>
      <c r="AC182" s="142"/>
      <c r="AD182" s="142"/>
      <c r="AE182" s="142"/>
    </row>
    <row r="183" spans="6:31">
      <c r="F183" s="142"/>
      <c r="G183" s="142"/>
      <c r="H183" s="142"/>
      <c r="I183" s="142"/>
      <c r="J183" s="142"/>
      <c r="K183" s="142"/>
      <c r="L183" s="142"/>
      <c r="M183" s="142"/>
      <c r="N183" s="142"/>
      <c r="O183" s="142"/>
      <c r="P183" s="142"/>
      <c r="Q183" s="142"/>
      <c r="R183" s="142"/>
      <c r="S183" s="142"/>
      <c r="T183" s="142"/>
      <c r="U183" s="142"/>
      <c r="V183" s="142"/>
      <c r="W183" s="142"/>
      <c r="X183" s="142"/>
      <c r="Y183" s="142"/>
      <c r="Z183" s="142"/>
      <c r="AA183" s="142"/>
      <c r="AB183" s="142"/>
      <c r="AC183" s="142"/>
      <c r="AD183" s="142"/>
      <c r="AE183" s="142"/>
    </row>
    <row r="184" spans="6:31">
      <c r="F184" s="142"/>
      <c r="G184" s="142"/>
      <c r="H184" s="142"/>
      <c r="I184" s="142"/>
      <c r="J184" s="142"/>
      <c r="K184" s="142"/>
      <c r="L184" s="142"/>
      <c r="M184" s="142"/>
      <c r="N184" s="142"/>
      <c r="O184" s="142"/>
      <c r="P184" s="142"/>
      <c r="Q184" s="142"/>
      <c r="R184" s="142"/>
      <c r="S184" s="142"/>
      <c r="T184" s="142"/>
      <c r="U184" s="142"/>
      <c r="V184" s="142"/>
      <c r="W184" s="142"/>
      <c r="X184" s="142"/>
      <c r="Y184" s="142"/>
      <c r="Z184" s="142"/>
      <c r="AA184" s="142"/>
      <c r="AB184" s="142"/>
      <c r="AC184" s="142"/>
      <c r="AD184" s="142"/>
      <c r="AE184" s="142"/>
    </row>
    <row r="185" spans="6:31">
      <c r="F185" s="142"/>
      <c r="G185" s="142"/>
      <c r="H185" s="142"/>
      <c r="I185" s="142"/>
      <c r="J185" s="142"/>
      <c r="K185" s="142"/>
      <c r="L185" s="142"/>
      <c r="M185" s="142"/>
      <c r="N185" s="142"/>
      <c r="O185" s="142"/>
      <c r="P185" s="142"/>
      <c r="Q185" s="142"/>
      <c r="R185" s="142"/>
      <c r="S185" s="142"/>
      <c r="T185" s="142"/>
      <c r="U185" s="142"/>
      <c r="V185" s="142"/>
      <c r="W185" s="142"/>
      <c r="X185" s="142"/>
      <c r="Y185" s="142"/>
      <c r="Z185" s="142"/>
      <c r="AA185" s="142"/>
      <c r="AB185" s="142"/>
      <c r="AC185" s="142"/>
      <c r="AD185" s="142"/>
      <c r="AE185" s="142"/>
    </row>
    <row r="186" spans="6:31">
      <c r="F186" s="142"/>
      <c r="G186" s="142"/>
      <c r="H186" s="142"/>
      <c r="I186" s="142"/>
      <c r="J186" s="142"/>
      <c r="K186" s="142"/>
      <c r="L186" s="142"/>
      <c r="M186" s="142"/>
      <c r="N186" s="142"/>
      <c r="O186" s="142"/>
      <c r="P186" s="142"/>
      <c r="Q186" s="142"/>
      <c r="R186" s="142"/>
      <c r="S186" s="142"/>
      <c r="T186" s="142"/>
      <c r="U186" s="142"/>
      <c r="V186" s="142"/>
      <c r="W186" s="142"/>
      <c r="X186" s="142"/>
      <c r="Y186" s="142"/>
      <c r="Z186" s="142"/>
      <c r="AA186" s="142"/>
      <c r="AB186" s="142"/>
      <c r="AC186" s="142"/>
      <c r="AD186" s="142"/>
      <c r="AE186" s="142"/>
    </row>
    <row r="187" spans="6:31">
      <c r="F187" s="142"/>
      <c r="G187" s="142"/>
      <c r="H187" s="142"/>
      <c r="I187" s="142"/>
      <c r="J187" s="142"/>
      <c r="K187" s="142"/>
      <c r="L187" s="142"/>
      <c r="M187" s="142"/>
      <c r="N187" s="142"/>
      <c r="O187" s="142"/>
      <c r="P187" s="142"/>
      <c r="Q187" s="142"/>
      <c r="R187" s="142"/>
      <c r="S187" s="142"/>
      <c r="T187" s="142"/>
      <c r="U187" s="142"/>
      <c r="V187" s="142"/>
      <c r="W187" s="142"/>
      <c r="X187" s="142"/>
      <c r="Y187" s="142"/>
      <c r="Z187" s="142"/>
      <c r="AA187" s="142"/>
      <c r="AB187" s="142"/>
      <c r="AC187" s="142"/>
      <c r="AD187" s="142"/>
      <c r="AE187" s="142"/>
    </row>
    <row r="188" spans="6:31">
      <c r="F188" s="142"/>
      <c r="G188" s="142"/>
      <c r="H188" s="142"/>
      <c r="I188" s="142"/>
      <c r="J188" s="142"/>
      <c r="K188" s="142"/>
      <c r="L188" s="142"/>
      <c r="M188" s="142"/>
      <c r="N188" s="142"/>
      <c r="O188" s="142"/>
      <c r="P188" s="142"/>
      <c r="Q188" s="142"/>
      <c r="R188" s="142"/>
      <c r="S188" s="142"/>
      <c r="T188" s="142"/>
      <c r="U188" s="142"/>
      <c r="V188" s="142"/>
      <c r="W188" s="142"/>
      <c r="X188" s="142"/>
      <c r="Y188" s="142"/>
      <c r="Z188" s="142"/>
      <c r="AA188" s="142"/>
      <c r="AB188" s="142"/>
      <c r="AC188" s="142"/>
      <c r="AD188" s="142"/>
      <c r="AE188" s="142"/>
    </row>
    <row r="189" spans="6:31">
      <c r="F189" s="142"/>
      <c r="G189" s="142"/>
      <c r="H189" s="142"/>
      <c r="I189" s="142"/>
      <c r="J189" s="142"/>
      <c r="K189" s="142"/>
      <c r="L189" s="142"/>
      <c r="M189" s="142"/>
      <c r="N189" s="142"/>
      <c r="O189" s="142"/>
      <c r="P189" s="142"/>
      <c r="Q189" s="142"/>
      <c r="R189" s="142"/>
      <c r="S189" s="142"/>
      <c r="T189" s="142"/>
      <c r="U189" s="142"/>
      <c r="V189" s="142"/>
      <c r="W189" s="142"/>
      <c r="X189" s="142"/>
      <c r="Y189" s="142"/>
      <c r="Z189" s="142"/>
      <c r="AA189" s="142"/>
      <c r="AB189" s="142"/>
      <c r="AC189" s="142"/>
      <c r="AD189" s="142"/>
      <c r="AE189" s="142"/>
    </row>
    <row r="190" spans="6:31">
      <c r="F190" s="142"/>
      <c r="G190" s="142"/>
      <c r="H190" s="142"/>
      <c r="I190" s="142"/>
      <c r="J190" s="142"/>
      <c r="K190" s="142"/>
      <c r="L190" s="142"/>
      <c r="M190" s="142"/>
      <c r="N190" s="142"/>
      <c r="O190" s="142"/>
      <c r="P190" s="142"/>
      <c r="Q190" s="142"/>
      <c r="R190" s="142"/>
      <c r="S190" s="142"/>
      <c r="T190" s="142"/>
      <c r="U190" s="142"/>
      <c r="V190" s="142"/>
      <c r="W190" s="142"/>
      <c r="X190" s="142"/>
      <c r="Y190" s="142"/>
      <c r="Z190" s="142"/>
      <c r="AA190" s="142"/>
      <c r="AB190" s="142"/>
      <c r="AC190" s="142"/>
      <c r="AD190" s="142"/>
      <c r="AE190" s="142"/>
    </row>
    <row r="191" spans="6:31">
      <c r="F191" s="142"/>
      <c r="G191" s="142"/>
      <c r="H191" s="142"/>
      <c r="I191" s="142"/>
      <c r="J191" s="142"/>
      <c r="K191" s="142"/>
      <c r="L191" s="142"/>
      <c r="M191" s="142"/>
      <c r="N191" s="142"/>
      <c r="O191" s="142"/>
      <c r="P191" s="142"/>
      <c r="Q191" s="142"/>
      <c r="R191" s="142"/>
      <c r="S191" s="142"/>
      <c r="T191" s="142"/>
      <c r="U191" s="142"/>
      <c r="V191" s="142"/>
      <c r="W191" s="142"/>
      <c r="X191" s="142"/>
      <c r="Y191" s="142"/>
      <c r="Z191" s="142"/>
      <c r="AA191" s="142"/>
      <c r="AB191" s="142"/>
      <c r="AC191" s="142"/>
      <c r="AD191" s="142"/>
      <c r="AE191" s="142"/>
    </row>
    <row r="192" spans="6:31">
      <c r="F192" s="142"/>
      <c r="G192" s="142"/>
      <c r="H192" s="142"/>
      <c r="I192" s="142"/>
      <c r="J192" s="142"/>
      <c r="K192" s="142"/>
      <c r="L192" s="142"/>
      <c r="M192" s="142"/>
      <c r="N192" s="142"/>
      <c r="O192" s="142"/>
      <c r="P192" s="142"/>
      <c r="Q192" s="142"/>
      <c r="R192" s="142"/>
      <c r="S192" s="142"/>
      <c r="T192" s="142"/>
      <c r="U192" s="142"/>
      <c r="V192" s="142"/>
      <c r="W192" s="142"/>
      <c r="X192" s="142"/>
      <c r="Y192" s="142"/>
      <c r="Z192" s="142"/>
      <c r="AA192" s="142"/>
      <c r="AB192" s="142"/>
      <c r="AC192" s="142"/>
      <c r="AD192" s="142"/>
      <c r="AE192" s="142"/>
    </row>
    <row r="193" spans="6:31">
      <c r="F193" s="142"/>
      <c r="G193" s="142"/>
      <c r="H193" s="142"/>
      <c r="I193" s="142"/>
      <c r="J193" s="142"/>
      <c r="K193" s="142"/>
      <c r="L193" s="142"/>
      <c r="M193" s="142"/>
      <c r="N193" s="142"/>
      <c r="O193" s="142"/>
      <c r="P193" s="142"/>
      <c r="Q193" s="142"/>
      <c r="R193" s="142"/>
      <c r="S193" s="142"/>
      <c r="T193" s="142"/>
      <c r="U193" s="142"/>
      <c r="V193" s="142"/>
      <c r="W193" s="142"/>
      <c r="X193" s="142"/>
      <c r="Y193" s="142"/>
      <c r="Z193" s="142"/>
      <c r="AA193" s="142"/>
      <c r="AB193" s="142"/>
      <c r="AC193" s="142"/>
      <c r="AD193" s="142"/>
      <c r="AE193" s="142"/>
    </row>
    <row r="194" spans="6:31">
      <c r="F194" s="142"/>
      <c r="G194" s="142"/>
      <c r="H194" s="142"/>
      <c r="I194" s="142"/>
      <c r="J194" s="142"/>
      <c r="K194" s="142"/>
      <c r="L194" s="142"/>
      <c r="M194" s="142"/>
      <c r="N194" s="142"/>
      <c r="O194" s="142"/>
      <c r="P194" s="142"/>
      <c r="Q194" s="142"/>
      <c r="R194" s="142"/>
      <c r="S194" s="142"/>
      <c r="T194" s="142"/>
      <c r="U194" s="142"/>
      <c r="V194" s="142"/>
      <c r="W194" s="142"/>
      <c r="X194" s="142"/>
      <c r="Y194" s="142"/>
      <c r="Z194" s="142"/>
      <c r="AA194" s="142"/>
      <c r="AB194" s="142"/>
      <c r="AC194" s="142"/>
      <c r="AD194" s="142"/>
      <c r="AE194" s="142"/>
    </row>
    <row r="195" spans="6:31">
      <c r="F195" s="142"/>
      <c r="G195" s="142"/>
      <c r="H195" s="142"/>
      <c r="I195" s="142"/>
      <c r="J195" s="142"/>
      <c r="K195" s="142"/>
      <c r="L195" s="142"/>
      <c r="M195" s="142"/>
      <c r="N195" s="142"/>
      <c r="O195" s="142"/>
      <c r="P195" s="142"/>
      <c r="Q195" s="142"/>
      <c r="R195" s="142"/>
      <c r="S195" s="142"/>
      <c r="T195" s="142"/>
      <c r="U195" s="142"/>
      <c r="V195" s="142"/>
      <c r="W195" s="142"/>
      <c r="X195" s="142"/>
      <c r="Y195" s="142"/>
      <c r="Z195" s="142"/>
      <c r="AA195" s="142"/>
      <c r="AB195" s="142"/>
      <c r="AC195" s="142"/>
      <c r="AD195" s="142"/>
      <c r="AE195" s="142"/>
    </row>
    <row r="196" spans="6:31">
      <c r="F196" s="142"/>
      <c r="G196" s="142"/>
      <c r="H196" s="142"/>
      <c r="I196" s="142"/>
      <c r="J196" s="142"/>
      <c r="K196" s="142"/>
      <c r="L196" s="142"/>
      <c r="M196" s="142"/>
      <c r="N196" s="142"/>
      <c r="O196" s="142"/>
      <c r="P196" s="142"/>
      <c r="Q196" s="142"/>
      <c r="R196" s="142"/>
      <c r="S196" s="142"/>
      <c r="T196" s="142"/>
      <c r="U196" s="142"/>
      <c r="V196" s="142"/>
      <c r="W196" s="142"/>
      <c r="X196" s="142"/>
      <c r="Y196" s="142"/>
      <c r="Z196" s="142"/>
      <c r="AA196" s="142"/>
      <c r="AB196" s="142"/>
      <c r="AC196" s="142"/>
      <c r="AD196" s="142"/>
      <c r="AE196" s="142"/>
    </row>
    <row r="197" spans="6:31">
      <c r="F197" s="142"/>
      <c r="G197" s="142"/>
      <c r="H197" s="142"/>
      <c r="I197" s="142"/>
      <c r="J197" s="142"/>
      <c r="K197" s="142"/>
      <c r="L197" s="142"/>
      <c r="M197" s="142"/>
      <c r="N197" s="142"/>
      <c r="O197" s="142"/>
      <c r="P197" s="142"/>
      <c r="Q197" s="142"/>
      <c r="R197" s="142"/>
      <c r="S197" s="142"/>
      <c r="T197" s="142"/>
      <c r="U197" s="142"/>
      <c r="V197" s="142"/>
      <c r="W197" s="142"/>
      <c r="X197" s="142"/>
      <c r="Y197" s="142"/>
      <c r="Z197" s="142"/>
      <c r="AA197" s="142"/>
      <c r="AB197" s="142"/>
      <c r="AC197" s="142"/>
      <c r="AD197" s="142"/>
      <c r="AE197" s="142"/>
    </row>
    <row r="198" spans="6:31">
      <c r="F198" s="142"/>
      <c r="G198" s="142"/>
      <c r="H198" s="142"/>
      <c r="I198" s="142"/>
      <c r="J198" s="142"/>
      <c r="K198" s="142"/>
      <c r="L198" s="142"/>
      <c r="M198" s="142"/>
      <c r="N198" s="142"/>
      <c r="O198" s="142"/>
      <c r="P198" s="142"/>
      <c r="Q198" s="142"/>
      <c r="R198" s="142"/>
      <c r="S198" s="142"/>
      <c r="T198" s="142"/>
      <c r="U198" s="142"/>
      <c r="V198" s="142"/>
      <c r="W198" s="142"/>
      <c r="X198" s="142"/>
      <c r="Y198" s="142"/>
      <c r="Z198" s="142"/>
      <c r="AA198" s="142"/>
      <c r="AB198" s="142"/>
      <c r="AC198" s="142"/>
      <c r="AD198" s="142"/>
      <c r="AE198" s="142"/>
    </row>
    <row r="199" spans="6:31">
      <c r="F199" s="142"/>
      <c r="G199" s="142"/>
      <c r="H199" s="142"/>
      <c r="I199" s="142"/>
      <c r="J199" s="142"/>
      <c r="K199" s="142"/>
      <c r="L199" s="142"/>
      <c r="M199" s="142"/>
      <c r="N199" s="142"/>
      <c r="O199" s="142"/>
      <c r="P199" s="142"/>
      <c r="Q199" s="142"/>
      <c r="R199" s="142"/>
      <c r="S199" s="142"/>
      <c r="T199" s="142"/>
      <c r="U199" s="142"/>
      <c r="V199" s="142"/>
      <c r="W199" s="142"/>
      <c r="X199" s="142"/>
      <c r="Y199" s="142"/>
      <c r="Z199" s="142"/>
      <c r="AA199" s="142"/>
      <c r="AB199" s="142"/>
      <c r="AC199" s="142"/>
      <c r="AD199" s="142"/>
      <c r="AE199" s="142"/>
    </row>
    <row r="200" spans="6:31">
      <c r="F200" s="142"/>
      <c r="G200" s="142"/>
      <c r="H200" s="142"/>
      <c r="I200" s="142"/>
      <c r="J200" s="142"/>
      <c r="K200" s="142"/>
      <c r="L200" s="142"/>
      <c r="M200" s="142"/>
      <c r="N200" s="142"/>
      <c r="O200" s="142"/>
      <c r="P200" s="142"/>
      <c r="Q200" s="142"/>
      <c r="R200" s="142"/>
      <c r="S200" s="142"/>
      <c r="T200" s="142"/>
      <c r="U200" s="142"/>
      <c r="V200" s="142"/>
      <c r="W200" s="142"/>
      <c r="X200" s="142"/>
      <c r="Y200" s="142"/>
      <c r="Z200" s="142"/>
      <c r="AA200" s="142"/>
      <c r="AB200" s="142"/>
      <c r="AC200" s="142"/>
      <c r="AD200" s="142"/>
      <c r="AE200" s="142"/>
    </row>
    <row r="201" spans="6:31">
      <c r="F201" s="142"/>
      <c r="G201" s="142"/>
      <c r="H201" s="142"/>
      <c r="I201" s="142"/>
      <c r="J201" s="142"/>
      <c r="K201" s="142"/>
      <c r="L201" s="142"/>
      <c r="M201" s="142"/>
      <c r="N201" s="142"/>
      <c r="O201" s="142"/>
      <c r="P201" s="142"/>
      <c r="Q201" s="142"/>
      <c r="R201" s="142"/>
      <c r="S201" s="142"/>
      <c r="T201" s="142"/>
      <c r="U201" s="142"/>
      <c r="V201" s="142"/>
      <c r="W201" s="142"/>
      <c r="X201" s="142"/>
      <c r="Y201" s="142"/>
      <c r="Z201" s="142"/>
      <c r="AA201" s="142"/>
      <c r="AB201" s="142"/>
      <c r="AC201" s="142"/>
      <c r="AD201" s="142"/>
      <c r="AE201" s="142"/>
    </row>
    <row r="202" spans="6:31">
      <c r="F202" s="142"/>
      <c r="G202" s="142"/>
      <c r="H202" s="142"/>
      <c r="I202" s="142"/>
      <c r="J202" s="142"/>
      <c r="K202" s="142"/>
      <c r="L202" s="142"/>
      <c r="M202" s="142"/>
      <c r="N202" s="142"/>
      <c r="O202" s="142"/>
      <c r="P202" s="142"/>
      <c r="Q202" s="142"/>
      <c r="R202" s="142"/>
      <c r="S202" s="142"/>
      <c r="T202" s="142"/>
      <c r="U202" s="142"/>
      <c r="V202" s="142"/>
      <c r="W202" s="142"/>
      <c r="X202" s="142"/>
      <c r="Y202" s="142"/>
      <c r="Z202" s="142"/>
      <c r="AA202" s="142"/>
      <c r="AB202" s="142"/>
      <c r="AC202" s="142"/>
      <c r="AD202" s="142"/>
      <c r="AE202" s="142"/>
    </row>
    <row r="203" spans="6:31">
      <c r="F203" s="142"/>
      <c r="G203" s="142"/>
      <c r="H203" s="142"/>
      <c r="I203" s="142"/>
      <c r="J203" s="142"/>
      <c r="K203" s="142"/>
      <c r="L203" s="142"/>
      <c r="M203" s="142"/>
      <c r="N203" s="142"/>
      <c r="O203" s="142"/>
      <c r="P203" s="142"/>
      <c r="Q203" s="142"/>
      <c r="R203" s="142"/>
      <c r="S203" s="142"/>
      <c r="T203" s="142"/>
      <c r="U203" s="142"/>
      <c r="V203" s="142"/>
      <c r="W203" s="142"/>
      <c r="X203" s="142"/>
      <c r="Y203" s="142"/>
      <c r="Z203" s="142"/>
      <c r="AA203" s="142"/>
      <c r="AB203" s="142"/>
      <c r="AC203" s="142"/>
      <c r="AD203" s="142"/>
      <c r="AE203" s="142"/>
    </row>
    <row r="204" spans="6:31">
      <c r="F204" s="142"/>
      <c r="G204" s="142"/>
      <c r="H204" s="142"/>
      <c r="I204" s="142"/>
      <c r="J204" s="142"/>
      <c r="K204" s="142"/>
      <c r="L204" s="142"/>
      <c r="M204" s="142"/>
      <c r="N204" s="142"/>
      <c r="O204" s="142"/>
      <c r="P204" s="142"/>
      <c r="Q204" s="142"/>
      <c r="R204" s="142"/>
      <c r="S204" s="142"/>
      <c r="T204" s="142"/>
      <c r="U204" s="142"/>
      <c r="V204" s="142"/>
      <c r="W204" s="142"/>
      <c r="X204" s="142"/>
      <c r="Y204" s="142"/>
      <c r="Z204" s="142"/>
      <c r="AA204" s="142"/>
      <c r="AB204" s="142"/>
      <c r="AC204" s="142"/>
      <c r="AD204" s="142"/>
      <c r="AE204" s="142"/>
    </row>
    <row r="205" spans="6:31">
      <c r="F205" s="142"/>
      <c r="G205" s="142"/>
      <c r="H205" s="142"/>
      <c r="I205" s="142"/>
      <c r="J205" s="142"/>
      <c r="K205" s="142"/>
      <c r="L205" s="142"/>
      <c r="M205" s="142"/>
      <c r="N205" s="142"/>
      <c r="O205" s="142"/>
      <c r="P205" s="142"/>
      <c r="Q205" s="142"/>
      <c r="R205" s="142"/>
      <c r="S205" s="142"/>
      <c r="T205" s="142"/>
      <c r="U205" s="142"/>
      <c r="V205" s="142"/>
      <c r="W205" s="142"/>
      <c r="X205" s="142"/>
      <c r="Y205" s="142"/>
      <c r="Z205" s="142"/>
      <c r="AA205" s="142"/>
      <c r="AB205" s="142"/>
      <c r="AC205" s="142"/>
      <c r="AD205" s="142"/>
      <c r="AE205" s="142"/>
    </row>
    <row r="206" spans="6:31">
      <c r="F206" s="142"/>
      <c r="G206" s="142"/>
      <c r="H206" s="142"/>
      <c r="I206" s="142"/>
      <c r="J206" s="142"/>
      <c r="K206" s="142"/>
      <c r="L206" s="142"/>
      <c r="M206" s="142"/>
      <c r="N206" s="142"/>
      <c r="O206" s="142"/>
      <c r="P206" s="142"/>
      <c r="Q206" s="142"/>
      <c r="R206" s="142"/>
      <c r="S206" s="142"/>
      <c r="T206" s="142"/>
      <c r="U206" s="142"/>
      <c r="V206" s="142"/>
      <c r="W206" s="142"/>
      <c r="X206" s="142"/>
      <c r="Y206" s="142"/>
      <c r="Z206" s="142"/>
      <c r="AA206" s="142"/>
      <c r="AB206" s="142"/>
      <c r="AC206" s="142"/>
      <c r="AD206" s="142"/>
      <c r="AE206" s="142"/>
    </row>
    <row r="207" spans="6:31">
      <c r="F207" s="142"/>
      <c r="G207" s="142"/>
      <c r="H207" s="142"/>
      <c r="I207" s="142"/>
      <c r="J207" s="142"/>
      <c r="K207" s="142"/>
      <c r="L207" s="142"/>
      <c r="M207" s="142"/>
      <c r="N207" s="142"/>
      <c r="O207" s="142"/>
      <c r="P207" s="142"/>
      <c r="Q207" s="142"/>
      <c r="R207" s="142"/>
      <c r="S207" s="142"/>
      <c r="T207" s="142"/>
      <c r="U207" s="142"/>
      <c r="V207" s="142"/>
      <c r="W207" s="142"/>
      <c r="X207" s="142"/>
      <c r="Y207" s="142"/>
      <c r="Z207" s="142"/>
      <c r="AA207" s="142"/>
      <c r="AB207" s="142"/>
      <c r="AC207" s="142"/>
      <c r="AD207" s="142"/>
      <c r="AE207" s="142"/>
    </row>
    <row r="208" spans="6:31">
      <c r="F208" s="142"/>
      <c r="G208" s="142"/>
      <c r="H208" s="142"/>
      <c r="I208" s="142"/>
      <c r="J208" s="142"/>
      <c r="K208" s="142"/>
      <c r="L208" s="142"/>
      <c r="M208" s="142"/>
      <c r="N208" s="142"/>
      <c r="O208" s="142"/>
      <c r="P208" s="142"/>
      <c r="Q208" s="142"/>
      <c r="R208" s="142"/>
      <c r="S208" s="142"/>
      <c r="T208" s="142"/>
      <c r="U208" s="142"/>
      <c r="V208" s="142"/>
      <c r="W208" s="142"/>
      <c r="X208" s="142"/>
      <c r="Y208" s="142"/>
      <c r="Z208" s="142"/>
      <c r="AA208" s="142"/>
      <c r="AB208" s="142"/>
      <c r="AC208" s="142"/>
      <c r="AD208" s="142"/>
      <c r="AE208" s="142"/>
    </row>
    <row r="209" spans="6:31">
      <c r="F209" s="142"/>
      <c r="G209" s="142"/>
      <c r="H209" s="142"/>
      <c r="I209" s="142"/>
      <c r="J209" s="142"/>
      <c r="K209" s="142"/>
      <c r="L209" s="142"/>
      <c r="M209" s="142"/>
      <c r="N209" s="142"/>
      <c r="O209" s="142"/>
      <c r="P209" s="142"/>
      <c r="Q209" s="142"/>
      <c r="R209" s="142"/>
      <c r="S209" s="142"/>
      <c r="T209" s="142"/>
      <c r="U209" s="142"/>
      <c r="V209" s="142"/>
      <c r="W209" s="142"/>
      <c r="X209" s="142"/>
      <c r="Y209" s="142"/>
      <c r="Z209" s="142"/>
      <c r="AA209" s="142"/>
      <c r="AB209" s="142"/>
      <c r="AC209" s="142"/>
      <c r="AD209" s="142"/>
      <c r="AE209" s="142"/>
    </row>
    <row r="210" spans="6:31">
      <c r="F210" s="142"/>
      <c r="G210" s="142"/>
      <c r="H210" s="142"/>
      <c r="I210" s="142"/>
      <c r="J210" s="142"/>
      <c r="K210" s="142"/>
      <c r="L210" s="142"/>
      <c r="M210" s="142"/>
      <c r="N210" s="142"/>
      <c r="O210" s="142"/>
      <c r="P210" s="142"/>
      <c r="Q210" s="142"/>
      <c r="R210" s="142"/>
      <c r="S210" s="142"/>
      <c r="T210" s="142"/>
      <c r="U210" s="142"/>
      <c r="V210" s="142"/>
      <c r="W210" s="142"/>
      <c r="X210" s="142"/>
      <c r="Y210" s="142"/>
      <c r="Z210" s="142"/>
      <c r="AA210" s="142"/>
      <c r="AB210" s="142"/>
      <c r="AC210" s="142"/>
      <c r="AD210" s="142"/>
      <c r="AE210" s="142"/>
    </row>
    <row r="211" spans="6:31">
      <c r="F211" s="142"/>
      <c r="G211" s="142"/>
      <c r="H211" s="142"/>
      <c r="I211" s="142"/>
      <c r="J211" s="142"/>
      <c r="K211" s="142"/>
      <c r="L211" s="142"/>
      <c r="M211" s="142"/>
      <c r="N211" s="142"/>
      <c r="O211" s="142"/>
      <c r="P211" s="142"/>
      <c r="Q211" s="142"/>
      <c r="R211" s="142"/>
      <c r="S211" s="142"/>
      <c r="T211" s="142"/>
      <c r="U211" s="142"/>
      <c r="V211" s="142"/>
      <c r="W211" s="142"/>
      <c r="X211" s="142"/>
      <c r="Y211" s="142"/>
      <c r="Z211" s="142"/>
      <c r="AA211" s="142"/>
      <c r="AB211" s="142"/>
      <c r="AC211" s="142"/>
      <c r="AD211" s="142"/>
      <c r="AE211" s="142"/>
    </row>
    <row r="212" spans="6:31">
      <c r="F212" s="142"/>
      <c r="G212" s="142"/>
      <c r="H212" s="142"/>
      <c r="I212" s="142"/>
      <c r="J212" s="142"/>
      <c r="K212" s="142"/>
      <c r="L212" s="142"/>
      <c r="M212" s="142"/>
      <c r="N212" s="142"/>
      <c r="O212" s="142"/>
      <c r="P212" s="142"/>
      <c r="Q212" s="142"/>
      <c r="R212" s="142"/>
      <c r="S212" s="142"/>
      <c r="T212" s="142"/>
      <c r="U212" s="142"/>
      <c r="V212" s="142"/>
      <c r="W212" s="142"/>
      <c r="X212" s="142"/>
      <c r="Y212" s="142"/>
      <c r="Z212" s="142"/>
      <c r="AA212" s="142"/>
      <c r="AB212" s="142"/>
      <c r="AC212" s="142"/>
      <c r="AD212" s="142"/>
      <c r="AE212" s="142"/>
    </row>
    <row r="213" spans="6:31">
      <c r="F213" s="142"/>
      <c r="G213" s="142"/>
      <c r="H213" s="142"/>
      <c r="I213" s="142"/>
      <c r="J213" s="142"/>
      <c r="K213" s="142"/>
      <c r="L213" s="142"/>
      <c r="M213" s="142"/>
      <c r="N213" s="142"/>
      <c r="O213" s="142"/>
      <c r="P213" s="142"/>
      <c r="Q213" s="142"/>
      <c r="R213" s="142"/>
      <c r="S213" s="142"/>
      <c r="T213" s="142"/>
      <c r="U213" s="142"/>
      <c r="V213" s="142"/>
      <c r="W213" s="142"/>
      <c r="X213" s="142"/>
      <c r="Y213" s="142"/>
      <c r="Z213" s="142"/>
      <c r="AA213" s="142"/>
      <c r="AB213" s="142"/>
      <c r="AC213" s="142"/>
      <c r="AD213" s="142"/>
      <c r="AE213" s="142"/>
    </row>
    <row r="214" spans="6:31">
      <c r="F214" s="142"/>
      <c r="G214" s="142"/>
      <c r="H214" s="142"/>
      <c r="I214" s="142"/>
      <c r="J214" s="142"/>
      <c r="K214" s="142"/>
      <c r="L214" s="142"/>
      <c r="M214" s="142"/>
      <c r="N214" s="142"/>
      <c r="O214" s="142"/>
      <c r="P214" s="142"/>
      <c r="Q214" s="142"/>
      <c r="R214" s="142"/>
      <c r="S214" s="142"/>
      <c r="T214" s="142"/>
      <c r="U214" s="142"/>
      <c r="V214" s="142"/>
      <c r="W214" s="142"/>
      <c r="X214" s="142"/>
      <c r="Y214" s="142"/>
      <c r="Z214" s="142"/>
      <c r="AA214" s="142"/>
      <c r="AB214" s="142"/>
      <c r="AC214" s="142"/>
      <c r="AD214" s="142"/>
      <c r="AE214" s="142"/>
    </row>
    <row r="215" spans="6:31">
      <c r="F215" s="142"/>
      <c r="G215" s="142"/>
      <c r="H215" s="142"/>
      <c r="I215" s="142"/>
      <c r="J215" s="142"/>
      <c r="K215" s="142"/>
      <c r="L215" s="142"/>
      <c r="M215" s="142"/>
      <c r="N215" s="142"/>
      <c r="O215" s="142"/>
      <c r="P215" s="142"/>
      <c r="Q215" s="142"/>
      <c r="R215" s="142"/>
      <c r="S215" s="142"/>
      <c r="T215" s="142"/>
      <c r="U215" s="142"/>
      <c r="V215" s="142"/>
      <c r="W215" s="142"/>
      <c r="X215" s="142"/>
      <c r="Y215" s="142"/>
      <c r="Z215" s="142"/>
      <c r="AA215" s="142"/>
      <c r="AB215" s="142"/>
      <c r="AC215" s="142"/>
      <c r="AD215" s="142"/>
      <c r="AE215" s="142"/>
    </row>
    <row r="216" spans="6:31">
      <c r="F216" s="142"/>
      <c r="G216" s="142"/>
      <c r="H216" s="142"/>
      <c r="I216" s="142"/>
      <c r="J216" s="142"/>
      <c r="K216" s="142"/>
      <c r="L216" s="142"/>
      <c r="M216" s="142"/>
      <c r="N216" s="142"/>
      <c r="O216" s="142"/>
      <c r="P216" s="142"/>
      <c r="Q216" s="142"/>
      <c r="R216" s="142"/>
      <c r="S216" s="142"/>
      <c r="T216" s="142"/>
      <c r="U216" s="142"/>
      <c r="V216" s="142"/>
      <c r="W216" s="142"/>
      <c r="X216" s="142"/>
      <c r="Y216" s="142"/>
      <c r="Z216" s="142"/>
      <c r="AA216" s="142"/>
      <c r="AB216" s="142"/>
      <c r="AC216" s="142"/>
      <c r="AD216" s="142"/>
      <c r="AE216" s="142"/>
    </row>
    <row r="217" spans="6:31">
      <c r="F217" s="142"/>
      <c r="G217" s="142"/>
      <c r="H217" s="142"/>
      <c r="I217" s="142"/>
      <c r="J217" s="142"/>
      <c r="K217" s="142"/>
      <c r="L217" s="142"/>
      <c r="M217" s="142"/>
      <c r="N217" s="142"/>
      <c r="O217" s="142"/>
      <c r="P217" s="142"/>
      <c r="Q217" s="142"/>
      <c r="R217" s="142"/>
      <c r="S217" s="142"/>
      <c r="T217" s="142"/>
      <c r="U217" s="142"/>
      <c r="V217" s="142"/>
      <c r="W217" s="142"/>
      <c r="X217" s="142"/>
      <c r="Y217" s="142"/>
      <c r="Z217" s="142"/>
      <c r="AA217" s="142"/>
      <c r="AB217" s="142"/>
      <c r="AC217" s="142"/>
      <c r="AD217" s="142"/>
      <c r="AE217" s="142"/>
    </row>
    <row r="218" spans="6:31">
      <c r="F218" s="142"/>
      <c r="G218" s="142"/>
      <c r="H218" s="142"/>
      <c r="I218" s="142"/>
      <c r="J218" s="142"/>
      <c r="K218" s="142"/>
      <c r="L218" s="142"/>
      <c r="M218" s="142"/>
      <c r="N218" s="142"/>
      <c r="O218" s="142"/>
      <c r="P218" s="142"/>
      <c r="Q218" s="142"/>
      <c r="R218" s="142"/>
      <c r="S218" s="142"/>
      <c r="T218" s="142"/>
      <c r="U218" s="142"/>
      <c r="V218" s="142"/>
      <c r="W218" s="142"/>
      <c r="X218" s="142"/>
      <c r="Y218" s="142"/>
      <c r="Z218" s="142"/>
      <c r="AA218" s="142"/>
      <c r="AB218" s="142"/>
      <c r="AC218" s="142"/>
      <c r="AD218" s="142"/>
      <c r="AE218" s="142"/>
    </row>
    <row r="219" spans="6:31">
      <c r="F219" s="142"/>
      <c r="G219" s="142"/>
      <c r="H219" s="142"/>
      <c r="I219" s="142"/>
      <c r="J219" s="142"/>
      <c r="K219" s="142"/>
      <c r="L219" s="142"/>
      <c r="M219" s="142"/>
      <c r="N219" s="142"/>
      <c r="O219" s="142"/>
      <c r="P219" s="142"/>
      <c r="Q219" s="142"/>
      <c r="R219" s="142"/>
      <c r="S219" s="142"/>
      <c r="T219" s="142"/>
      <c r="U219" s="142"/>
      <c r="V219" s="142"/>
      <c r="W219" s="142"/>
      <c r="X219" s="142"/>
      <c r="Y219" s="142"/>
      <c r="Z219" s="142"/>
      <c r="AA219" s="142"/>
      <c r="AB219" s="142"/>
      <c r="AC219" s="142"/>
      <c r="AD219" s="142"/>
      <c r="AE219" s="142"/>
    </row>
    <row r="220" spans="6:31">
      <c r="F220" s="142"/>
      <c r="G220" s="142"/>
      <c r="H220" s="142"/>
      <c r="I220" s="142"/>
      <c r="J220" s="142"/>
      <c r="K220" s="142"/>
      <c r="L220" s="142"/>
      <c r="M220" s="142"/>
      <c r="N220" s="142"/>
      <c r="O220" s="142"/>
      <c r="P220" s="142"/>
      <c r="Q220" s="142"/>
      <c r="R220" s="142"/>
      <c r="S220" s="142"/>
      <c r="T220" s="142"/>
      <c r="U220" s="142"/>
      <c r="V220" s="142"/>
      <c r="W220" s="142"/>
      <c r="X220" s="142"/>
      <c r="Y220" s="142"/>
      <c r="Z220" s="142"/>
      <c r="AA220" s="142"/>
      <c r="AB220" s="142"/>
      <c r="AC220" s="142"/>
      <c r="AD220" s="142"/>
      <c r="AE220" s="142"/>
    </row>
    <row r="221" spans="6:31">
      <c r="F221" s="142"/>
      <c r="G221" s="142"/>
      <c r="H221" s="142"/>
      <c r="I221" s="142"/>
      <c r="J221" s="142"/>
      <c r="K221" s="142"/>
      <c r="L221" s="142"/>
      <c r="M221" s="142"/>
      <c r="N221" s="142"/>
      <c r="O221" s="142"/>
      <c r="P221" s="142"/>
      <c r="Q221" s="142"/>
      <c r="R221" s="142"/>
      <c r="S221" s="142"/>
      <c r="T221" s="142"/>
      <c r="U221" s="142"/>
      <c r="V221" s="142"/>
      <c r="W221" s="142"/>
      <c r="X221" s="142"/>
      <c r="Y221" s="142"/>
      <c r="Z221" s="142"/>
      <c r="AA221" s="142"/>
      <c r="AB221" s="142"/>
      <c r="AC221" s="142"/>
      <c r="AD221" s="142"/>
      <c r="AE221" s="142"/>
    </row>
    <row r="222" spans="6:31">
      <c r="F222" s="142"/>
      <c r="G222" s="142"/>
      <c r="H222" s="142"/>
      <c r="I222" s="142"/>
      <c r="J222" s="142"/>
      <c r="K222" s="142"/>
      <c r="L222" s="142"/>
      <c r="M222" s="142"/>
      <c r="N222" s="142"/>
      <c r="O222" s="142"/>
      <c r="P222" s="142"/>
      <c r="Q222" s="142"/>
      <c r="R222" s="142"/>
      <c r="S222" s="142"/>
      <c r="T222" s="142"/>
      <c r="U222" s="142"/>
      <c r="V222" s="142"/>
      <c r="W222" s="142"/>
      <c r="X222" s="142"/>
      <c r="Y222" s="142"/>
      <c r="Z222" s="142"/>
      <c r="AA222" s="142"/>
      <c r="AB222" s="142"/>
      <c r="AC222" s="142"/>
      <c r="AD222" s="142"/>
      <c r="AE222" s="142"/>
    </row>
    <row r="223" spans="6:31">
      <c r="F223" s="142"/>
      <c r="G223" s="142"/>
      <c r="H223" s="142"/>
      <c r="I223" s="142"/>
      <c r="J223" s="142"/>
      <c r="K223" s="142"/>
      <c r="L223" s="142"/>
      <c r="M223" s="142"/>
      <c r="N223" s="142"/>
      <c r="O223" s="142"/>
      <c r="P223" s="142"/>
      <c r="Q223" s="142"/>
      <c r="R223" s="142"/>
      <c r="S223" s="142"/>
      <c r="T223" s="142"/>
      <c r="U223" s="142"/>
      <c r="V223" s="142"/>
      <c r="W223" s="142"/>
      <c r="X223" s="142"/>
      <c r="Y223" s="142"/>
      <c r="Z223" s="142"/>
      <c r="AA223" s="142"/>
      <c r="AB223" s="142"/>
      <c r="AC223" s="142"/>
      <c r="AD223" s="142"/>
      <c r="AE223" s="142"/>
    </row>
    <row r="224" spans="6:31">
      <c r="F224" s="142"/>
      <c r="G224" s="142"/>
      <c r="H224" s="142"/>
      <c r="I224" s="142"/>
      <c r="J224" s="142"/>
      <c r="K224" s="142"/>
      <c r="L224" s="142"/>
      <c r="M224" s="142"/>
      <c r="N224" s="142"/>
      <c r="O224" s="142"/>
      <c r="P224" s="142"/>
      <c r="Q224" s="142"/>
      <c r="R224" s="142"/>
      <c r="S224" s="142"/>
      <c r="T224" s="142"/>
      <c r="U224" s="142"/>
      <c r="V224" s="142"/>
      <c r="W224" s="142"/>
      <c r="X224" s="142"/>
      <c r="Y224" s="142"/>
      <c r="Z224" s="142"/>
      <c r="AA224" s="142"/>
      <c r="AB224" s="142"/>
      <c r="AC224" s="142"/>
      <c r="AD224" s="142"/>
      <c r="AE224" s="142"/>
    </row>
    <row r="225" spans="6:31">
      <c r="F225" s="142"/>
      <c r="G225" s="142"/>
      <c r="H225" s="142"/>
      <c r="I225" s="142"/>
      <c r="J225" s="142"/>
      <c r="K225" s="142"/>
      <c r="L225" s="142"/>
      <c r="M225" s="142"/>
      <c r="N225" s="142"/>
      <c r="O225" s="142"/>
      <c r="P225" s="142"/>
      <c r="Q225" s="142"/>
      <c r="R225" s="142"/>
      <c r="S225" s="142"/>
      <c r="T225" s="142"/>
      <c r="U225" s="142"/>
      <c r="V225" s="142"/>
      <c r="W225" s="142"/>
      <c r="X225" s="142"/>
      <c r="Y225" s="142"/>
      <c r="Z225" s="142"/>
      <c r="AA225" s="142"/>
      <c r="AB225" s="142"/>
      <c r="AC225" s="142"/>
      <c r="AD225" s="142"/>
      <c r="AE225" s="142"/>
    </row>
    <row r="226" spans="6:31">
      <c r="F226" s="142"/>
      <c r="G226" s="142"/>
      <c r="H226" s="142"/>
      <c r="I226" s="142"/>
      <c r="J226" s="142"/>
      <c r="K226" s="142"/>
      <c r="L226" s="142"/>
      <c r="M226" s="142"/>
      <c r="N226" s="142"/>
      <c r="O226" s="142"/>
      <c r="P226" s="142"/>
      <c r="Q226" s="142"/>
      <c r="R226" s="142"/>
      <c r="S226" s="142"/>
      <c r="T226" s="142"/>
      <c r="U226" s="142"/>
      <c r="V226" s="142"/>
      <c r="W226" s="142"/>
      <c r="X226" s="142"/>
      <c r="Y226" s="142"/>
      <c r="Z226" s="142"/>
      <c r="AA226" s="142"/>
      <c r="AB226" s="142"/>
      <c r="AC226" s="142"/>
      <c r="AD226" s="142"/>
      <c r="AE226" s="142"/>
    </row>
    <row r="227" spans="6:31">
      <c r="F227" s="142"/>
      <c r="G227" s="142"/>
      <c r="H227" s="142"/>
      <c r="I227" s="142"/>
      <c r="J227" s="142"/>
      <c r="K227" s="142"/>
      <c r="L227" s="142"/>
      <c r="M227" s="142"/>
      <c r="N227" s="142"/>
      <c r="O227" s="142"/>
      <c r="P227" s="142"/>
      <c r="Q227" s="142"/>
      <c r="R227" s="142"/>
      <c r="S227" s="142"/>
      <c r="T227" s="142"/>
      <c r="U227" s="142"/>
      <c r="V227" s="142"/>
      <c r="W227" s="142"/>
      <c r="X227" s="142"/>
      <c r="Y227" s="142"/>
      <c r="Z227" s="142"/>
      <c r="AA227" s="142"/>
      <c r="AB227" s="142"/>
      <c r="AC227" s="142"/>
      <c r="AD227" s="142"/>
      <c r="AE227" s="142"/>
    </row>
    <row r="228" spans="6:31">
      <c r="F228" s="142"/>
      <c r="G228" s="142"/>
      <c r="H228" s="142"/>
      <c r="I228" s="142"/>
      <c r="J228" s="142"/>
      <c r="K228" s="142"/>
      <c r="L228" s="142"/>
      <c r="M228" s="142"/>
      <c r="N228" s="142"/>
      <c r="O228" s="142"/>
      <c r="P228" s="142"/>
      <c r="Q228" s="142"/>
      <c r="R228" s="142"/>
      <c r="S228" s="142"/>
      <c r="T228" s="142"/>
      <c r="U228" s="142"/>
      <c r="V228" s="142"/>
      <c r="W228" s="142"/>
      <c r="X228" s="142"/>
      <c r="Y228" s="142"/>
      <c r="Z228" s="142"/>
      <c r="AA228" s="142"/>
      <c r="AB228" s="142"/>
      <c r="AC228" s="142"/>
      <c r="AD228" s="142"/>
      <c r="AE228" s="142"/>
    </row>
    <row r="229" spans="6:31">
      <c r="F229" s="142"/>
      <c r="G229" s="142"/>
      <c r="H229" s="142"/>
      <c r="I229" s="142"/>
      <c r="J229" s="142"/>
      <c r="K229" s="142"/>
      <c r="L229" s="142"/>
      <c r="M229" s="142"/>
      <c r="N229" s="142"/>
      <c r="O229" s="142"/>
      <c r="P229" s="142"/>
      <c r="Q229" s="142"/>
      <c r="R229" s="142"/>
      <c r="S229" s="142"/>
      <c r="T229" s="142"/>
      <c r="U229" s="142"/>
      <c r="V229" s="142"/>
      <c r="W229" s="142"/>
      <c r="X229" s="142"/>
      <c r="Y229" s="142"/>
      <c r="Z229" s="142"/>
      <c r="AA229" s="142"/>
      <c r="AB229" s="142"/>
      <c r="AC229" s="142"/>
      <c r="AD229" s="142"/>
      <c r="AE229" s="142"/>
    </row>
    <row r="230" spans="6:31">
      <c r="F230" s="142"/>
      <c r="G230" s="142"/>
      <c r="H230" s="142"/>
      <c r="I230" s="142"/>
      <c r="J230" s="142"/>
      <c r="K230" s="142"/>
      <c r="L230" s="142"/>
      <c r="M230" s="142"/>
      <c r="N230" s="142"/>
      <c r="O230" s="142"/>
      <c r="P230" s="142"/>
      <c r="Q230" s="142"/>
      <c r="R230" s="142"/>
      <c r="S230" s="142"/>
      <c r="T230" s="142"/>
      <c r="U230" s="142"/>
      <c r="V230" s="142"/>
      <c r="W230" s="142"/>
      <c r="X230" s="142"/>
      <c r="Y230" s="142"/>
      <c r="Z230" s="142"/>
      <c r="AA230" s="142"/>
      <c r="AB230" s="142"/>
      <c r="AC230" s="142"/>
      <c r="AD230" s="142"/>
      <c r="AE230" s="142"/>
    </row>
    <row r="231" spans="6:31">
      <c r="F231" s="142"/>
      <c r="G231" s="142"/>
      <c r="H231" s="142"/>
      <c r="I231" s="142"/>
      <c r="J231" s="142"/>
      <c r="K231" s="142"/>
      <c r="L231" s="142"/>
      <c r="M231" s="142"/>
      <c r="N231" s="142"/>
      <c r="O231" s="142"/>
      <c r="P231" s="142"/>
      <c r="Q231" s="142"/>
      <c r="R231" s="142"/>
      <c r="S231" s="142"/>
      <c r="T231" s="142"/>
      <c r="U231" s="142"/>
      <c r="V231" s="142"/>
      <c r="W231" s="142"/>
      <c r="X231" s="142"/>
      <c r="Y231" s="142"/>
      <c r="Z231" s="142"/>
      <c r="AA231" s="142"/>
      <c r="AB231" s="142"/>
      <c r="AC231" s="142"/>
      <c r="AD231" s="142"/>
      <c r="AE231" s="142"/>
    </row>
    <row r="232" spans="6:31">
      <c r="F232" s="142"/>
      <c r="G232" s="142"/>
      <c r="H232" s="142"/>
      <c r="I232" s="142"/>
      <c r="J232" s="142"/>
      <c r="K232" s="142"/>
      <c r="L232" s="142"/>
      <c r="M232" s="142"/>
      <c r="N232" s="142"/>
      <c r="O232" s="142"/>
      <c r="P232" s="142"/>
      <c r="Q232" s="142"/>
      <c r="R232" s="142"/>
      <c r="S232" s="142"/>
      <c r="T232" s="142"/>
      <c r="U232" s="142"/>
      <c r="V232" s="142"/>
      <c r="W232" s="142"/>
      <c r="X232" s="142"/>
      <c r="Y232" s="142"/>
      <c r="Z232" s="142"/>
      <c r="AA232" s="142"/>
      <c r="AB232" s="142"/>
      <c r="AC232" s="142"/>
      <c r="AD232" s="142"/>
      <c r="AE232" s="142"/>
    </row>
    <row r="233" spans="6:31">
      <c r="F233" s="142"/>
      <c r="G233" s="142"/>
      <c r="H233" s="142"/>
      <c r="I233" s="142"/>
      <c r="J233" s="142"/>
      <c r="K233" s="142"/>
      <c r="L233" s="142"/>
      <c r="M233" s="142"/>
      <c r="N233" s="142"/>
      <c r="O233" s="142"/>
      <c r="P233" s="142"/>
      <c r="Q233" s="142"/>
      <c r="R233" s="142"/>
      <c r="S233" s="142"/>
      <c r="T233" s="142"/>
      <c r="U233" s="142"/>
      <c r="V233" s="142"/>
      <c r="W233" s="142"/>
      <c r="X233" s="142"/>
      <c r="Y233" s="142"/>
      <c r="Z233" s="142"/>
      <c r="AA233" s="142"/>
      <c r="AB233" s="142"/>
      <c r="AC233" s="142"/>
      <c r="AD233" s="142"/>
      <c r="AE233" s="142"/>
    </row>
    <row r="234" spans="6:31">
      <c r="F234" s="142"/>
      <c r="G234" s="142"/>
      <c r="H234" s="142"/>
      <c r="I234" s="142"/>
      <c r="J234" s="142"/>
      <c r="K234" s="142"/>
      <c r="L234" s="142"/>
      <c r="M234" s="142"/>
      <c r="N234" s="142"/>
      <c r="O234" s="142"/>
      <c r="P234" s="142"/>
      <c r="Q234" s="142"/>
      <c r="R234" s="142"/>
      <c r="S234" s="142"/>
      <c r="T234" s="142"/>
      <c r="U234" s="142"/>
      <c r="V234" s="142"/>
      <c r="W234" s="142"/>
      <c r="X234" s="142"/>
      <c r="Y234" s="142"/>
      <c r="Z234" s="142"/>
      <c r="AA234" s="142"/>
      <c r="AB234" s="142"/>
      <c r="AC234" s="142"/>
      <c r="AD234" s="142"/>
      <c r="AE234" s="142"/>
    </row>
    <row r="235" spans="6:31">
      <c r="F235" s="142"/>
      <c r="G235" s="142"/>
      <c r="H235" s="142"/>
      <c r="I235" s="142"/>
      <c r="J235" s="142"/>
      <c r="K235" s="142"/>
      <c r="L235" s="142"/>
      <c r="M235" s="142"/>
      <c r="N235" s="142"/>
      <c r="O235" s="142"/>
      <c r="P235" s="142"/>
      <c r="Q235" s="142"/>
      <c r="R235" s="142"/>
      <c r="S235" s="142"/>
      <c r="T235" s="142"/>
      <c r="U235" s="142"/>
      <c r="V235" s="142"/>
      <c r="W235" s="142"/>
      <c r="X235" s="142"/>
      <c r="Y235" s="142"/>
      <c r="Z235" s="142"/>
      <c r="AA235" s="142"/>
      <c r="AB235" s="142"/>
      <c r="AC235" s="142"/>
      <c r="AD235" s="142"/>
      <c r="AE235" s="142"/>
    </row>
    <row r="236" spans="6:31">
      <c r="F236" s="142"/>
      <c r="G236" s="142"/>
      <c r="H236" s="142"/>
      <c r="I236" s="142"/>
      <c r="J236" s="142"/>
      <c r="K236" s="142"/>
      <c r="L236" s="142"/>
      <c r="M236" s="142"/>
      <c r="N236" s="142"/>
      <c r="O236" s="142"/>
      <c r="P236" s="142"/>
      <c r="Q236" s="142"/>
      <c r="R236" s="142"/>
      <c r="S236" s="142"/>
      <c r="T236" s="142"/>
      <c r="U236" s="142"/>
      <c r="V236" s="142"/>
      <c r="W236" s="142"/>
      <c r="X236" s="142"/>
      <c r="Y236" s="142"/>
      <c r="Z236" s="142"/>
      <c r="AA236" s="142"/>
      <c r="AB236" s="142"/>
      <c r="AC236" s="142"/>
      <c r="AD236" s="142"/>
      <c r="AE236" s="142"/>
    </row>
    <row r="237" spans="6:31">
      <c r="F237" s="142"/>
      <c r="G237" s="142"/>
      <c r="H237" s="142"/>
      <c r="I237" s="142"/>
      <c r="J237" s="142"/>
      <c r="K237" s="142"/>
      <c r="L237" s="142"/>
      <c r="M237" s="142"/>
      <c r="N237" s="142"/>
      <c r="O237" s="142"/>
      <c r="P237" s="142"/>
      <c r="Q237" s="142"/>
      <c r="R237" s="142"/>
      <c r="S237" s="142"/>
      <c r="T237" s="142"/>
      <c r="U237" s="142"/>
      <c r="V237" s="142"/>
      <c r="W237" s="142"/>
      <c r="X237" s="142"/>
      <c r="Y237" s="142"/>
      <c r="Z237" s="142"/>
      <c r="AA237" s="142"/>
      <c r="AB237" s="142"/>
      <c r="AC237" s="142"/>
      <c r="AD237" s="142"/>
      <c r="AE237" s="142"/>
    </row>
    <row r="238" spans="6:31">
      <c r="F238" s="142"/>
      <c r="G238" s="142"/>
      <c r="H238" s="142"/>
      <c r="I238" s="142"/>
      <c r="J238" s="142"/>
      <c r="K238" s="142"/>
      <c r="L238" s="142"/>
      <c r="M238" s="142"/>
      <c r="N238" s="142"/>
      <c r="O238" s="142"/>
      <c r="P238" s="142"/>
      <c r="Q238" s="142"/>
      <c r="R238" s="142"/>
      <c r="S238" s="142"/>
      <c r="T238" s="142"/>
      <c r="U238" s="142"/>
      <c r="V238" s="142"/>
      <c r="W238" s="142"/>
      <c r="X238" s="142"/>
      <c r="Y238" s="142"/>
      <c r="Z238" s="142"/>
      <c r="AA238" s="142"/>
      <c r="AB238" s="142"/>
      <c r="AC238" s="142"/>
      <c r="AD238" s="142"/>
      <c r="AE238" s="142"/>
    </row>
    <row r="239" spans="6:31">
      <c r="F239" s="142"/>
      <c r="G239" s="142"/>
      <c r="H239" s="142"/>
      <c r="I239" s="142"/>
      <c r="J239" s="142"/>
      <c r="K239" s="142"/>
      <c r="L239" s="142"/>
      <c r="M239" s="142"/>
      <c r="N239" s="142"/>
      <c r="O239" s="142"/>
      <c r="P239" s="142"/>
      <c r="Q239" s="142"/>
      <c r="R239" s="142"/>
      <c r="S239" s="142"/>
      <c r="T239" s="142"/>
      <c r="U239" s="142"/>
      <c r="V239" s="142"/>
      <c r="W239" s="142"/>
      <c r="X239" s="142"/>
      <c r="Y239" s="142"/>
      <c r="Z239" s="142"/>
      <c r="AA239" s="142"/>
      <c r="AB239" s="142"/>
      <c r="AC239" s="142"/>
      <c r="AD239" s="142"/>
      <c r="AE239" s="142"/>
    </row>
    <row r="240" spans="6:31">
      <c r="F240" s="142"/>
      <c r="G240" s="142"/>
      <c r="H240" s="142"/>
      <c r="I240" s="142"/>
      <c r="J240" s="142"/>
      <c r="K240" s="142"/>
      <c r="L240" s="142"/>
      <c r="M240" s="142"/>
      <c r="N240" s="142"/>
      <c r="O240" s="142"/>
      <c r="P240" s="142"/>
      <c r="Q240" s="142"/>
      <c r="R240" s="142"/>
      <c r="S240" s="142"/>
      <c r="T240" s="142"/>
      <c r="U240" s="142"/>
      <c r="V240" s="142"/>
      <c r="W240" s="142"/>
      <c r="X240" s="142"/>
      <c r="Y240" s="142"/>
      <c r="Z240" s="142"/>
      <c r="AA240" s="142"/>
      <c r="AB240" s="142"/>
      <c r="AC240" s="142"/>
      <c r="AD240" s="142"/>
      <c r="AE240" s="142"/>
    </row>
    <row r="241" spans="6:31">
      <c r="F241" s="142"/>
      <c r="G241" s="142"/>
      <c r="H241" s="142"/>
      <c r="I241" s="142"/>
      <c r="J241" s="142"/>
      <c r="K241" s="142"/>
      <c r="L241" s="142"/>
      <c r="M241" s="142"/>
      <c r="N241" s="142"/>
      <c r="O241" s="142"/>
      <c r="P241" s="142"/>
      <c r="Q241" s="142"/>
      <c r="R241" s="142"/>
      <c r="S241" s="142"/>
      <c r="T241" s="142"/>
      <c r="U241" s="142"/>
      <c r="V241" s="142"/>
      <c r="W241" s="142"/>
      <c r="X241" s="142"/>
      <c r="Y241" s="142"/>
      <c r="Z241" s="142"/>
      <c r="AA241" s="142"/>
      <c r="AB241" s="142"/>
      <c r="AC241" s="142"/>
      <c r="AD241" s="142"/>
      <c r="AE241" s="142"/>
    </row>
    <row r="242" spans="6:31">
      <c r="F242" s="142"/>
      <c r="G242" s="142"/>
      <c r="H242" s="142"/>
      <c r="I242" s="142"/>
      <c r="J242" s="142"/>
      <c r="K242" s="142"/>
      <c r="L242" s="142"/>
      <c r="M242" s="142"/>
      <c r="N242" s="142"/>
      <c r="O242" s="142"/>
      <c r="P242" s="142"/>
      <c r="Q242" s="142"/>
      <c r="R242" s="142"/>
      <c r="S242" s="142"/>
      <c r="T242" s="142"/>
      <c r="U242" s="142"/>
      <c r="V242" s="142"/>
      <c r="W242" s="142"/>
      <c r="X242" s="142"/>
      <c r="Y242" s="142"/>
      <c r="Z242" s="142"/>
      <c r="AA242" s="142"/>
      <c r="AB242" s="142"/>
      <c r="AC242" s="142"/>
      <c r="AD242" s="142"/>
      <c r="AE242" s="142"/>
    </row>
    <row r="243" spans="6:31">
      <c r="F243" s="142"/>
      <c r="G243" s="142"/>
      <c r="H243" s="142"/>
      <c r="I243" s="142"/>
      <c r="J243" s="142"/>
      <c r="K243" s="142"/>
      <c r="L243" s="142"/>
      <c r="M243" s="142"/>
      <c r="N243" s="142"/>
      <c r="O243" s="142"/>
      <c r="P243" s="142"/>
      <c r="Q243" s="142"/>
      <c r="R243" s="142"/>
      <c r="S243" s="142"/>
      <c r="T243" s="142"/>
      <c r="U243" s="142"/>
      <c r="V243" s="142"/>
      <c r="W243" s="142"/>
      <c r="X243" s="142"/>
      <c r="Y243" s="142"/>
      <c r="Z243" s="142"/>
      <c r="AA243" s="142"/>
      <c r="AB243" s="142"/>
      <c r="AC243" s="142"/>
      <c r="AD243" s="142"/>
      <c r="AE243" s="142"/>
    </row>
    <row r="244" spans="6:31">
      <c r="F244" s="142"/>
      <c r="G244" s="142"/>
      <c r="H244" s="142"/>
      <c r="I244" s="142"/>
      <c r="J244" s="142"/>
      <c r="K244" s="142"/>
      <c r="L244" s="142"/>
      <c r="M244" s="142"/>
      <c r="N244" s="142"/>
      <c r="O244" s="142"/>
      <c r="P244" s="142"/>
      <c r="Q244" s="142"/>
      <c r="R244" s="142"/>
      <c r="S244" s="142"/>
      <c r="T244" s="142"/>
      <c r="U244" s="142"/>
      <c r="V244" s="142"/>
      <c r="W244" s="142"/>
      <c r="X244" s="142"/>
      <c r="Y244" s="142"/>
      <c r="Z244" s="142"/>
      <c r="AA244" s="142"/>
      <c r="AB244" s="142"/>
      <c r="AC244" s="142"/>
      <c r="AD244" s="142"/>
      <c r="AE244" s="142"/>
    </row>
    <row r="245" spans="6:31">
      <c r="F245" s="142"/>
      <c r="G245" s="142"/>
      <c r="H245" s="142"/>
      <c r="I245" s="142"/>
      <c r="J245" s="142"/>
      <c r="K245" s="142"/>
      <c r="L245" s="142"/>
      <c r="M245" s="142"/>
      <c r="N245" s="142"/>
      <c r="O245" s="142"/>
      <c r="P245" s="142"/>
      <c r="Q245" s="142"/>
      <c r="R245" s="142"/>
      <c r="S245" s="142"/>
      <c r="T245" s="142"/>
      <c r="U245" s="142"/>
      <c r="V245" s="142"/>
      <c r="W245" s="142"/>
      <c r="X245" s="142"/>
      <c r="Y245" s="142"/>
      <c r="Z245" s="142"/>
      <c r="AA245" s="142"/>
      <c r="AB245" s="142"/>
      <c r="AC245" s="142"/>
      <c r="AD245" s="142"/>
      <c r="AE245" s="142"/>
    </row>
    <row r="246" spans="6:31">
      <c r="F246" s="142"/>
      <c r="G246" s="142"/>
      <c r="H246" s="142"/>
      <c r="I246" s="142"/>
      <c r="J246" s="142"/>
      <c r="K246" s="142"/>
      <c r="L246" s="142"/>
      <c r="M246" s="142"/>
      <c r="N246" s="142"/>
      <c r="O246" s="142"/>
      <c r="P246" s="142"/>
      <c r="Q246" s="142"/>
      <c r="R246" s="142"/>
      <c r="S246" s="142"/>
      <c r="T246" s="142"/>
      <c r="U246" s="142"/>
      <c r="V246" s="142"/>
      <c r="W246" s="142"/>
      <c r="X246" s="142"/>
      <c r="Y246" s="142"/>
      <c r="Z246" s="142"/>
      <c r="AA246" s="142"/>
      <c r="AB246" s="142"/>
      <c r="AC246" s="142"/>
      <c r="AD246" s="142"/>
      <c r="AE246" s="142"/>
    </row>
    <row r="247" spans="6:31">
      <c r="F247" s="142"/>
      <c r="G247" s="142"/>
      <c r="H247" s="142"/>
      <c r="I247" s="142"/>
      <c r="J247" s="142"/>
      <c r="K247" s="142"/>
      <c r="L247" s="142"/>
      <c r="M247" s="142"/>
      <c r="N247" s="142"/>
      <c r="O247" s="142"/>
      <c r="P247" s="142"/>
      <c r="Q247" s="142"/>
      <c r="R247" s="142"/>
      <c r="S247" s="142"/>
      <c r="T247" s="142"/>
      <c r="U247" s="142"/>
      <c r="V247" s="142"/>
      <c r="W247" s="142"/>
      <c r="X247" s="142"/>
      <c r="Y247" s="142"/>
      <c r="Z247" s="142"/>
      <c r="AA247" s="142"/>
      <c r="AB247" s="142"/>
      <c r="AC247" s="142"/>
      <c r="AD247" s="142"/>
      <c r="AE247" s="142"/>
    </row>
    <row r="248" spans="6:31">
      <c r="F248" s="142"/>
      <c r="G248" s="142"/>
      <c r="H248" s="142"/>
      <c r="I248" s="142"/>
      <c r="J248" s="142"/>
      <c r="K248" s="142"/>
      <c r="L248" s="142"/>
      <c r="M248" s="142"/>
      <c r="N248" s="142"/>
      <c r="O248" s="142"/>
      <c r="P248" s="142"/>
      <c r="Q248" s="142"/>
      <c r="R248" s="142"/>
      <c r="S248" s="142"/>
      <c r="T248" s="142"/>
      <c r="U248" s="142"/>
      <c r="V248" s="142"/>
      <c r="W248" s="142"/>
      <c r="X248" s="142"/>
      <c r="Y248" s="142"/>
      <c r="Z248" s="142"/>
      <c r="AA248" s="142"/>
      <c r="AB248" s="142"/>
      <c r="AC248" s="142"/>
      <c r="AD248" s="142"/>
      <c r="AE248" s="142"/>
    </row>
    <row r="249" spans="6:31">
      <c r="F249" s="142"/>
      <c r="G249" s="142"/>
      <c r="H249" s="142"/>
      <c r="I249" s="142"/>
      <c r="J249" s="142"/>
      <c r="K249" s="142"/>
      <c r="L249" s="142"/>
      <c r="M249" s="142"/>
      <c r="N249" s="142"/>
      <c r="O249" s="142"/>
      <c r="P249" s="142"/>
      <c r="Q249" s="142"/>
      <c r="R249" s="142"/>
      <c r="S249" s="142"/>
      <c r="T249" s="142"/>
      <c r="U249" s="142"/>
      <c r="V249" s="142"/>
      <c r="W249" s="142"/>
      <c r="X249" s="142"/>
      <c r="Y249" s="142"/>
      <c r="Z249" s="142"/>
      <c r="AA249" s="142"/>
      <c r="AB249" s="142"/>
      <c r="AC249" s="142"/>
      <c r="AD249" s="142"/>
      <c r="AE249" s="142"/>
    </row>
    <row r="250" spans="6:31">
      <c r="F250" s="142"/>
      <c r="G250" s="142"/>
      <c r="H250" s="142"/>
      <c r="I250" s="142"/>
      <c r="J250" s="142"/>
      <c r="K250" s="142"/>
      <c r="L250" s="142"/>
      <c r="M250" s="142"/>
      <c r="N250" s="142"/>
      <c r="O250" s="142"/>
      <c r="P250" s="142"/>
      <c r="Q250" s="142"/>
      <c r="R250" s="142"/>
      <c r="S250" s="142"/>
      <c r="T250" s="142"/>
      <c r="U250" s="142"/>
      <c r="V250" s="142"/>
      <c r="W250" s="142"/>
      <c r="X250" s="142"/>
      <c r="Y250" s="142"/>
      <c r="Z250" s="142"/>
      <c r="AA250" s="142"/>
      <c r="AB250" s="142"/>
      <c r="AC250" s="142"/>
      <c r="AD250" s="142"/>
      <c r="AE250" s="142"/>
    </row>
    <row r="251" spans="6:31">
      <c r="F251" s="142"/>
      <c r="G251" s="142"/>
      <c r="H251" s="142"/>
      <c r="I251" s="142"/>
      <c r="J251" s="142"/>
      <c r="K251" s="142"/>
      <c r="L251" s="142"/>
      <c r="M251" s="142"/>
      <c r="N251" s="142"/>
      <c r="O251" s="142"/>
      <c r="P251" s="142"/>
      <c r="Q251" s="142"/>
      <c r="R251" s="142"/>
      <c r="S251" s="142"/>
      <c r="T251" s="142"/>
      <c r="U251" s="142"/>
      <c r="V251" s="142"/>
      <c r="W251" s="142"/>
      <c r="X251" s="142"/>
      <c r="Y251" s="142"/>
      <c r="Z251" s="142"/>
      <c r="AA251" s="142"/>
      <c r="AB251" s="142"/>
      <c r="AC251" s="142"/>
      <c r="AD251" s="142"/>
      <c r="AE251" s="142"/>
    </row>
    <row r="252" spans="6:31">
      <c r="F252" s="142"/>
      <c r="G252" s="142"/>
      <c r="H252" s="142"/>
      <c r="I252" s="142"/>
      <c r="J252" s="142"/>
      <c r="K252" s="142"/>
      <c r="L252" s="142"/>
      <c r="M252" s="142"/>
      <c r="N252" s="142"/>
      <c r="O252" s="142"/>
      <c r="P252" s="142"/>
      <c r="Q252" s="142"/>
      <c r="R252" s="142"/>
      <c r="S252" s="142"/>
      <c r="T252" s="142"/>
      <c r="U252" s="142"/>
      <c r="V252" s="142"/>
      <c r="W252" s="142"/>
      <c r="X252" s="142"/>
      <c r="Y252" s="142"/>
      <c r="Z252" s="142"/>
      <c r="AA252" s="142"/>
      <c r="AB252" s="142"/>
      <c r="AC252" s="142"/>
      <c r="AD252" s="142"/>
      <c r="AE252" s="142"/>
    </row>
    <row r="253" spans="6:31">
      <c r="F253" s="142"/>
      <c r="G253" s="142"/>
      <c r="H253" s="142"/>
      <c r="I253" s="142"/>
      <c r="J253" s="142"/>
      <c r="K253" s="142"/>
      <c r="L253" s="142"/>
      <c r="M253" s="142"/>
      <c r="N253" s="142"/>
      <c r="O253" s="142"/>
      <c r="P253" s="142"/>
      <c r="Q253" s="142"/>
      <c r="R253" s="142"/>
      <c r="S253" s="142"/>
      <c r="T253" s="142"/>
      <c r="U253" s="142"/>
      <c r="V253" s="142"/>
      <c r="W253" s="142"/>
      <c r="X253" s="142"/>
      <c r="Y253" s="142"/>
      <c r="Z253" s="142"/>
      <c r="AA253" s="142"/>
      <c r="AB253" s="142"/>
      <c r="AC253" s="142"/>
      <c r="AD253" s="142"/>
      <c r="AE253" s="142"/>
    </row>
    <row r="254" spans="6:31">
      <c r="F254" s="142"/>
      <c r="G254" s="142"/>
      <c r="H254" s="142"/>
      <c r="I254" s="142"/>
      <c r="J254" s="142"/>
      <c r="K254" s="142"/>
      <c r="L254" s="142"/>
      <c r="M254" s="142"/>
      <c r="N254" s="142"/>
      <c r="O254" s="142"/>
      <c r="P254" s="142"/>
      <c r="Q254" s="142"/>
      <c r="R254" s="142"/>
      <c r="S254" s="142"/>
      <c r="T254" s="142"/>
      <c r="U254" s="142"/>
      <c r="V254" s="142"/>
      <c r="W254" s="142"/>
      <c r="X254" s="142"/>
      <c r="Y254" s="142"/>
      <c r="Z254" s="142"/>
      <c r="AA254" s="142"/>
      <c r="AB254" s="142"/>
      <c r="AC254" s="142"/>
      <c r="AD254" s="142"/>
      <c r="AE254" s="142"/>
    </row>
    <row r="255" spans="6:31">
      <c r="F255" s="142"/>
      <c r="G255" s="142"/>
      <c r="H255" s="142"/>
      <c r="I255" s="142"/>
      <c r="J255" s="142"/>
      <c r="K255" s="142"/>
      <c r="L255" s="142"/>
      <c r="M255" s="142"/>
      <c r="N255" s="142"/>
      <c r="O255" s="142"/>
      <c r="P255" s="142"/>
      <c r="Q255" s="142"/>
      <c r="R255" s="142"/>
      <c r="S255" s="142"/>
      <c r="T255" s="142"/>
      <c r="U255" s="142"/>
      <c r="V255" s="142"/>
      <c r="W255" s="142"/>
      <c r="X255" s="142"/>
      <c r="Y255" s="142"/>
      <c r="Z255" s="142"/>
      <c r="AA255" s="142"/>
      <c r="AB255" s="142"/>
      <c r="AC255" s="142"/>
      <c r="AD255" s="142"/>
      <c r="AE255" s="142"/>
    </row>
    <row r="256" spans="6:31">
      <c r="F256" s="142"/>
      <c r="G256" s="142"/>
      <c r="H256" s="142"/>
      <c r="I256" s="142"/>
      <c r="J256" s="142"/>
      <c r="K256" s="142"/>
      <c r="L256" s="142"/>
      <c r="M256" s="142"/>
      <c r="N256" s="142"/>
      <c r="O256" s="142"/>
      <c r="P256" s="142"/>
      <c r="Q256" s="142"/>
      <c r="R256" s="142"/>
      <c r="S256" s="142"/>
      <c r="T256" s="142"/>
      <c r="U256" s="142"/>
      <c r="V256" s="142"/>
      <c r="W256" s="142"/>
      <c r="X256" s="142"/>
      <c r="Y256" s="142"/>
      <c r="Z256" s="142"/>
      <c r="AA256" s="142"/>
      <c r="AB256" s="142"/>
      <c r="AC256" s="142"/>
      <c r="AD256" s="142"/>
      <c r="AE256" s="142"/>
    </row>
    <row r="257" spans="6:31">
      <c r="F257" s="142"/>
      <c r="G257" s="142"/>
      <c r="H257" s="142"/>
      <c r="I257" s="142"/>
      <c r="J257" s="142"/>
      <c r="K257" s="142"/>
      <c r="L257" s="142"/>
      <c r="M257" s="142"/>
      <c r="N257" s="142"/>
      <c r="O257" s="142"/>
      <c r="P257" s="142"/>
      <c r="Q257" s="142"/>
      <c r="R257" s="142"/>
      <c r="S257" s="142"/>
      <c r="T257" s="142"/>
      <c r="U257" s="142"/>
      <c r="V257" s="142"/>
      <c r="W257" s="142"/>
      <c r="X257" s="142"/>
      <c r="Y257" s="142"/>
      <c r="Z257" s="142"/>
      <c r="AA257" s="142"/>
      <c r="AB257" s="142"/>
      <c r="AC257" s="142"/>
      <c r="AD257" s="142"/>
      <c r="AE257" s="142"/>
    </row>
    <row r="258" spans="6:31">
      <c r="F258" s="142"/>
      <c r="G258" s="142"/>
      <c r="H258" s="142"/>
      <c r="I258" s="142"/>
      <c r="J258" s="142"/>
      <c r="K258" s="142"/>
      <c r="L258" s="142"/>
      <c r="M258" s="142"/>
      <c r="N258" s="142"/>
      <c r="O258" s="142"/>
      <c r="P258" s="142"/>
      <c r="Q258" s="142"/>
      <c r="R258" s="142"/>
      <c r="S258" s="142"/>
      <c r="T258" s="142"/>
      <c r="U258" s="142"/>
      <c r="V258" s="142"/>
      <c r="W258" s="142"/>
      <c r="X258" s="142"/>
      <c r="Y258" s="142"/>
      <c r="Z258" s="142"/>
      <c r="AA258" s="142"/>
      <c r="AB258" s="142"/>
      <c r="AC258" s="142"/>
      <c r="AD258" s="142"/>
      <c r="AE258" s="142"/>
    </row>
    <row r="259" spans="6:31">
      <c r="F259" s="142"/>
      <c r="G259" s="142"/>
      <c r="H259" s="142"/>
      <c r="I259" s="142"/>
      <c r="J259" s="142"/>
      <c r="K259" s="142"/>
      <c r="L259" s="142"/>
      <c r="M259" s="142"/>
      <c r="N259" s="142"/>
      <c r="O259" s="142"/>
      <c r="P259" s="142"/>
      <c r="Q259" s="142"/>
      <c r="R259" s="142"/>
      <c r="S259" s="142"/>
      <c r="T259" s="142"/>
      <c r="U259" s="142"/>
      <c r="V259" s="142"/>
      <c r="W259" s="142"/>
      <c r="X259" s="142"/>
      <c r="Y259" s="142"/>
      <c r="Z259" s="142"/>
      <c r="AA259" s="142"/>
      <c r="AB259" s="142"/>
      <c r="AC259" s="142"/>
      <c r="AD259" s="142"/>
      <c r="AE259" s="142"/>
    </row>
    <row r="260" spans="6:31">
      <c r="F260" s="142"/>
      <c r="G260" s="142"/>
      <c r="H260" s="142"/>
      <c r="I260" s="142"/>
      <c r="J260" s="142"/>
      <c r="K260" s="142"/>
      <c r="L260" s="142"/>
      <c r="M260" s="142"/>
      <c r="N260" s="142"/>
      <c r="O260" s="142"/>
      <c r="P260" s="142"/>
      <c r="Q260" s="142"/>
      <c r="R260" s="142"/>
      <c r="S260" s="142"/>
      <c r="T260" s="142"/>
      <c r="U260" s="142"/>
      <c r="V260" s="142"/>
      <c r="W260" s="142"/>
      <c r="X260" s="142"/>
      <c r="Y260" s="142"/>
      <c r="Z260" s="142"/>
      <c r="AA260" s="142"/>
      <c r="AB260" s="142"/>
      <c r="AC260" s="142"/>
      <c r="AD260" s="142"/>
      <c r="AE260" s="142"/>
    </row>
    <row r="261" spans="6:31">
      <c r="F261" s="142"/>
      <c r="G261" s="142"/>
      <c r="H261" s="142"/>
      <c r="I261" s="142"/>
      <c r="J261" s="142"/>
      <c r="K261" s="142"/>
      <c r="L261" s="142"/>
      <c r="M261" s="142"/>
      <c r="N261" s="142"/>
      <c r="O261" s="142"/>
      <c r="P261" s="142"/>
      <c r="Q261" s="142"/>
      <c r="R261" s="142"/>
      <c r="S261" s="142"/>
      <c r="T261" s="142"/>
      <c r="U261" s="142"/>
      <c r="V261" s="142"/>
      <c r="W261" s="142"/>
      <c r="X261" s="142"/>
      <c r="Y261" s="142"/>
      <c r="Z261" s="142"/>
      <c r="AA261" s="142"/>
      <c r="AB261" s="142"/>
      <c r="AC261" s="142"/>
      <c r="AD261" s="142"/>
      <c r="AE261" s="142"/>
    </row>
    <row r="262" spans="6:31">
      <c r="F262" s="142"/>
      <c r="G262" s="142"/>
      <c r="H262" s="142"/>
      <c r="I262" s="142"/>
      <c r="J262" s="142"/>
      <c r="K262" s="142"/>
      <c r="L262" s="142"/>
      <c r="M262" s="142"/>
      <c r="N262" s="142"/>
      <c r="O262" s="142"/>
      <c r="P262" s="142"/>
      <c r="Q262" s="142"/>
      <c r="R262" s="142"/>
      <c r="S262" s="142"/>
      <c r="T262" s="142"/>
      <c r="U262" s="142"/>
      <c r="V262" s="142"/>
      <c r="W262" s="142"/>
      <c r="X262" s="142"/>
      <c r="Y262" s="142"/>
      <c r="Z262" s="142"/>
      <c r="AA262" s="142"/>
      <c r="AB262" s="142"/>
      <c r="AC262" s="142"/>
      <c r="AD262" s="142"/>
      <c r="AE262" s="142"/>
    </row>
    <row r="263" spans="6:31">
      <c r="F263" s="142"/>
      <c r="G263" s="142"/>
      <c r="H263" s="142"/>
      <c r="I263" s="142"/>
      <c r="J263" s="142"/>
      <c r="K263" s="142"/>
      <c r="L263" s="142"/>
      <c r="M263" s="142"/>
      <c r="N263" s="142"/>
      <c r="O263" s="142"/>
      <c r="P263" s="142"/>
      <c r="Q263" s="142"/>
      <c r="R263" s="142"/>
      <c r="S263" s="142"/>
      <c r="T263" s="142"/>
      <c r="U263" s="142"/>
      <c r="V263" s="142"/>
      <c r="W263" s="142"/>
      <c r="X263" s="142"/>
      <c r="Y263" s="142"/>
      <c r="Z263" s="142"/>
      <c r="AA263" s="142"/>
      <c r="AB263" s="142"/>
      <c r="AC263" s="142"/>
      <c r="AD263" s="142"/>
      <c r="AE263" s="142"/>
    </row>
    <row r="264" spans="6:31">
      <c r="F264" s="142"/>
      <c r="G264" s="142"/>
      <c r="H264" s="142"/>
      <c r="I264" s="142"/>
      <c r="J264" s="142"/>
      <c r="K264" s="142"/>
      <c r="L264" s="142"/>
      <c r="M264" s="142"/>
      <c r="N264" s="142"/>
      <c r="O264" s="142"/>
      <c r="P264" s="142"/>
      <c r="Q264" s="142"/>
      <c r="R264" s="142"/>
      <c r="S264" s="142"/>
      <c r="T264" s="142"/>
      <c r="U264" s="142"/>
      <c r="V264" s="142"/>
      <c r="W264" s="142"/>
      <c r="X264" s="142"/>
      <c r="Y264" s="142"/>
      <c r="Z264" s="142"/>
      <c r="AA264" s="142"/>
      <c r="AB264" s="142"/>
      <c r="AC264" s="142"/>
      <c r="AD264" s="142"/>
      <c r="AE264" s="142"/>
    </row>
    <row r="265" spans="6:31">
      <c r="F265" s="142"/>
      <c r="G265" s="142"/>
      <c r="H265" s="142"/>
      <c r="I265" s="142"/>
      <c r="J265" s="142"/>
      <c r="K265" s="142"/>
      <c r="L265" s="142"/>
      <c r="M265" s="142"/>
      <c r="N265" s="142"/>
      <c r="O265" s="142"/>
      <c r="P265" s="142"/>
      <c r="Q265" s="142"/>
      <c r="R265" s="142"/>
      <c r="S265" s="142"/>
      <c r="T265" s="142"/>
      <c r="U265" s="142"/>
      <c r="V265" s="142"/>
      <c r="W265" s="142"/>
      <c r="X265" s="142"/>
      <c r="Y265" s="142"/>
      <c r="Z265" s="142"/>
      <c r="AA265" s="142"/>
      <c r="AB265" s="142"/>
      <c r="AC265" s="142"/>
      <c r="AD265" s="142"/>
      <c r="AE265" s="142"/>
    </row>
    <row r="266" spans="6:31">
      <c r="F266" s="142"/>
      <c r="G266" s="142"/>
      <c r="H266" s="142"/>
      <c r="I266" s="142"/>
      <c r="J266" s="142"/>
      <c r="K266" s="142"/>
      <c r="L266" s="142"/>
      <c r="M266" s="142"/>
      <c r="N266" s="142"/>
      <c r="O266" s="142"/>
      <c r="P266" s="142"/>
      <c r="Q266" s="142"/>
      <c r="R266" s="142"/>
      <c r="S266" s="142"/>
      <c r="T266" s="142"/>
      <c r="U266" s="142"/>
      <c r="V266" s="142"/>
      <c r="W266" s="142"/>
      <c r="X266" s="142"/>
      <c r="Y266" s="142"/>
      <c r="Z266" s="142"/>
      <c r="AA266" s="142"/>
      <c r="AB266" s="142"/>
      <c r="AC266" s="142"/>
      <c r="AD266" s="142"/>
      <c r="AE266" s="142"/>
    </row>
    <row r="267" spans="6:31">
      <c r="F267" s="142"/>
      <c r="G267" s="142"/>
      <c r="H267" s="142"/>
      <c r="I267" s="142"/>
      <c r="J267" s="142"/>
      <c r="K267" s="142"/>
      <c r="L267" s="142"/>
      <c r="M267" s="142"/>
      <c r="N267" s="142"/>
      <c r="O267" s="142"/>
      <c r="P267" s="142"/>
      <c r="Q267" s="142"/>
      <c r="R267" s="142"/>
      <c r="S267" s="142"/>
      <c r="T267" s="142"/>
      <c r="U267" s="142"/>
      <c r="V267" s="142"/>
      <c r="W267" s="142"/>
      <c r="X267" s="142"/>
      <c r="Y267" s="142"/>
      <c r="Z267" s="142"/>
      <c r="AA267" s="142"/>
      <c r="AB267" s="142"/>
      <c r="AC267" s="142"/>
      <c r="AD267" s="142"/>
      <c r="AE267" s="142"/>
    </row>
    <row r="268" spans="6:31">
      <c r="F268" s="142"/>
      <c r="G268" s="142"/>
      <c r="H268" s="142"/>
      <c r="I268" s="142"/>
      <c r="J268" s="142"/>
      <c r="K268" s="142"/>
      <c r="L268" s="142"/>
      <c r="M268" s="142"/>
      <c r="N268" s="142"/>
      <c r="O268" s="142"/>
      <c r="P268" s="142"/>
      <c r="Q268" s="142"/>
      <c r="R268" s="142"/>
      <c r="S268" s="142"/>
      <c r="T268" s="142"/>
      <c r="U268" s="142"/>
      <c r="V268" s="142"/>
      <c r="W268" s="142"/>
      <c r="X268" s="142"/>
      <c r="Y268" s="142"/>
      <c r="Z268" s="142"/>
      <c r="AA268" s="142"/>
      <c r="AB268" s="142"/>
      <c r="AC268" s="142"/>
      <c r="AD268" s="142"/>
      <c r="AE268" s="142"/>
    </row>
    <row r="269" spans="6:31">
      <c r="F269" s="142"/>
      <c r="G269" s="142"/>
      <c r="H269" s="142"/>
      <c r="I269" s="142"/>
      <c r="J269" s="142"/>
      <c r="K269" s="142"/>
      <c r="L269" s="142"/>
      <c r="M269" s="142"/>
      <c r="N269" s="142"/>
      <c r="O269" s="142"/>
      <c r="P269" s="142"/>
      <c r="Q269" s="142"/>
      <c r="R269" s="142"/>
      <c r="S269" s="142"/>
      <c r="T269" s="142"/>
      <c r="U269" s="142"/>
      <c r="V269" s="142"/>
      <c r="W269" s="142"/>
      <c r="X269" s="142"/>
      <c r="Y269" s="142"/>
      <c r="Z269" s="142"/>
      <c r="AA269" s="142"/>
      <c r="AB269" s="142"/>
      <c r="AC269" s="142"/>
      <c r="AD269" s="142"/>
      <c r="AE269" s="142"/>
    </row>
    <row r="270" spans="6:31">
      <c r="F270" s="142"/>
      <c r="G270" s="142"/>
      <c r="H270" s="142"/>
      <c r="I270" s="142"/>
      <c r="J270" s="142"/>
      <c r="K270" s="142"/>
      <c r="L270" s="142"/>
      <c r="M270" s="142"/>
      <c r="N270" s="142"/>
      <c r="O270" s="142"/>
      <c r="P270" s="142"/>
      <c r="Q270" s="142"/>
      <c r="R270" s="142"/>
      <c r="S270" s="142"/>
      <c r="T270" s="142"/>
      <c r="U270" s="142"/>
      <c r="V270" s="142"/>
      <c r="W270" s="142"/>
      <c r="X270" s="142"/>
      <c r="Y270" s="142"/>
      <c r="Z270" s="142"/>
      <c r="AA270" s="142"/>
      <c r="AB270" s="142"/>
      <c r="AC270" s="142"/>
      <c r="AD270" s="142"/>
      <c r="AE270" s="142"/>
    </row>
    <row r="271" spans="6:31">
      <c r="F271" s="142"/>
      <c r="G271" s="142"/>
      <c r="H271" s="142"/>
      <c r="I271" s="142"/>
      <c r="J271" s="142"/>
      <c r="K271" s="142"/>
      <c r="L271" s="142"/>
      <c r="M271" s="142"/>
      <c r="N271" s="142"/>
      <c r="O271" s="142"/>
      <c r="P271" s="142"/>
      <c r="Q271" s="142"/>
      <c r="R271" s="142"/>
      <c r="S271" s="142"/>
      <c r="T271" s="142"/>
      <c r="U271" s="142"/>
      <c r="V271" s="142"/>
      <c r="W271" s="142"/>
      <c r="X271" s="142"/>
      <c r="Y271" s="142"/>
      <c r="Z271" s="142"/>
      <c r="AA271" s="142"/>
      <c r="AB271" s="142"/>
      <c r="AC271" s="142"/>
      <c r="AD271" s="142"/>
      <c r="AE271" s="142"/>
    </row>
    <row r="272" spans="6:31">
      <c r="F272" s="142"/>
      <c r="G272" s="142"/>
      <c r="H272" s="142"/>
      <c r="I272" s="142"/>
      <c r="J272" s="142"/>
      <c r="K272" s="142"/>
      <c r="L272" s="142"/>
      <c r="M272" s="142"/>
      <c r="N272" s="142"/>
      <c r="O272" s="142"/>
      <c r="P272" s="142"/>
      <c r="Q272" s="142"/>
      <c r="R272" s="142"/>
      <c r="S272" s="142"/>
      <c r="T272" s="142"/>
      <c r="U272" s="142"/>
      <c r="V272" s="142"/>
      <c r="W272" s="142"/>
      <c r="X272" s="142"/>
      <c r="Y272" s="142"/>
      <c r="Z272" s="142"/>
      <c r="AA272" s="142"/>
      <c r="AB272" s="142"/>
      <c r="AC272" s="142"/>
      <c r="AD272" s="142"/>
      <c r="AE272" s="142"/>
    </row>
    <row r="273" spans="6:31">
      <c r="F273" s="142"/>
      <c r="G273" s="142"/>
      <c r="H273" s="142"/>
      <c r="I273" s="142"/>
      <c r="J273" s="142"/>
      <c r="K273" s="142"/>
      <c r="L273" s="142"/>
      <c r="M273" s="142"/>
      <c r="N273" s="142"/>
      <c r="O273" s="142"/>
      <c r="P273" s="142"/>
      <c r="Q273" s="142"/>
      <c r="R273" s="142"/>
      <c r="S273" s="142"/>
      <c r="T273" s="142"/>
      <c r="U273" s="142"/>
      <c r="V273" s="142"/>
      <c r="W273" s="142"/>
      <c r="X273" s="142"/>
      <c r="Y273" s="142"/>
      <c r="Z273" s="142"/>
      <c r="AA273" s="142"/>
      <c r="AB273" s="142"/>
      <c r="AC273" s="142"/>
      <c r="AD273" s="142"/>
      <c r="AE273" s="142"/>
    </row>
    <row r="274" spans="6:31">
      <c r="F274" s="142"/>
      <c r="G274" s="142"/>
      <c r="H274" s="142"/>
      <c r="I274" s="142"/>
      <c r="J274" s="142"/>
      <c r="K274" s="142"/>
      <c r="L274" s="142"/>
      <c r="M274" s="142"/>
      <c r="N274" s="142"/>
      <c r="O274" s="142"/>
      <c r="P274" s="142"/>
      <c r="Q274" s="142"/>
      <c r="R274" s="142"/>
      <c r="S274" s="142"/>
      <c r="T274" s="142"/>
      <c r="U274" s="142"/>
      <c r="V274" s="142"/>
      <c r="W274" s="142"/>
      <c r="X274" s="142"/>
      <c r="Y274" s="142"/>
      <c r="Z274" s="142"/>
      <c r="AA274" s="142"/>
      <c r="AB274" s="142"/>
      <c r="AC274" s="142"/>
      <c r="AD274" s="142"/>
      <c r="AE274" s="142"/>
    </row>
    <row r="275" spans="6:31">
      <c r="F275" s="142"/>
      <c r="G275" s="142"/>
      <c r="H275" s="142"/>
      <c r="I275" s="142"/>
      <c r="J275" s="142"/>
      <c r="K275" s="142"/>
      <c r="L275" s="142"/>
      <c r="M275" s="142"/>
      <c r="N275" s="142"/>
      <c r="O275" s="142"/>
      <c r="P275" s="142"/>
      <c r="Q275" s="142"/>
      <c r="R275" s="142"/>
      <c r="S275" s="142"/>
      <c r="T275" s="142"/>
      <c r="U275" s="142"/>
      <c r="V275" s="142"/>
      <c r="W275" s="142"/>
      <c r="X275" s="142"/>
      <c r="Y275" s="142"/>
      <c r="Z275" s="142"/>
      <c r="AA275" s="142"/>
      <c r="AB275" s="142"/>
      <c r="AC275" s="142"/>
      <c r="AD275" s="142"/>
      <c r="AE275" s="142"/>
    </row>
    <row r="276" spans="6:31">
      <c r="F276" s="142"/>
      <c r="G276" s="142"/>
      <c r="H276" s="142"/>
      <c r="I276" s="142"/>
      <c r="J276" s="142"/>
      <c r="K276" s="142"/>
      <c r="L276" s="142"/>
      <c r="M276" s="142"/>
      <c r="N276" s="142"/>
      <c r="O276" s="142"/>
      <c r="P276" s="142"/>
      <c r="Q276" s="142"/>
      <c r="R276" s="142"/>
      <c r="S276" s="142"/>
      <c r="T276" s="142"/>
      <c r="U276" s="142"/>
      <c r="V276" s="142"/>
      <c r="W276" s="142"/>
      <c r="X276" s="142"/>
      <c r="Y276" s="142"/>
      <c r="Z276" s="142"/>
      <c r="AA276" s="142"/>
      <c r="AB276" s="142"/>
      <c r="AC276" s="142"/>
      <c r="AD276" s="142"/>
      <c r="AE276" s="142"/>
    </row>
    <row r="277" spans="6:31">
      <c r="F277" s="142"/>
      <c r="G277" s="142"/>
      <c r="H277" s="142"/>
      <c r="I277" s="142"/>
      <c r="J277" s="142"/>
      <c r="K277" s="142"/>
      <c r="L277" s="142"/>
      <c r="M277" s="142"/>
      <c r="N277" s="142"/>
      <c r="O277" s="142"/>
      <c r="P277" s="142"/>
      <c r="Q277" s="142"/>
      <c r="R277" s="142"/>
      <c r="S277" s="142"/>
      <c r="T277" s="142"/>
      <c r="U277" s="142"/>
      <c r="V277" s="142"/>
      <c r="W277" s="142"/>
      <c r="X277" s="142"/>
      <c r="Y277" s="142"/>
      <c r="Z277" s="142"/>
      <c r="AA277" s="142"/>
      <c r="AB277" s="142"/>
      <c r="AC277" s="142"/>
      <c r="AD277" s="142"/>
      <c r="AE277" s="142"/>
    </row>
    <row r="278" spans="6:31">
      <c r="F278" s="142"/>
      <c r="G278" s="142"/>
      <c r="H278" s="142"/>
      <c r="I278" s="142"/>
      <c r="J278" s="142"/>
      <c r="K278" s="142"/>
      <c r="L278" s="142"/>
      <c r="M278" s="142"/>
      <c r="N278" s="142"/>
      <c r="O278" s="142"/>
      <c r="P278" s="142"/>
      <c r="Q278" s="142"/>
      <c r="R278" s="142"/>
      <c r="S278" s="142"/>
      <c r="T278" s="142"/>
      <c r="U278" s="142"/>
      <c r="V278" s="142"/>
      <c r="W278" s="142"/>
      <c r="X278" s="142"/>
      <c r="Y278" s="142"/>
      <c r="Z278" s="142"/>
      <c r="AA278" s="142"/>
      <c r="AB278" s="142"/>
      <c r="AC278" s="142"/>
      <c r="AD278" s="142"/>
      <c r="AE278" s="142"/>
    </row>
    <row r="279" spans="6:31">
      <c r="F279" s="142"/>
      <c r="G279" s="142"/>
      <c r="H279" s="142"/>
      <c r="I279" s="142"/>
      <c r="J279" s="142"/>
      <c r="K279" s="142"/>
      <c r="L279" s="142"/>
      <c r="M279" s="142"/>
      <c r="N279" s="142"/>
      <c r="O279" s="142"/>
      <c r="P279" s="142"/>
      <c r="Q279" s="142"/>
      <c r="R279" s="142"/>
      <c r="S279" s="142"/>
      <c r="T279" s="142"/>
      <c r="U279" s="142"/>
      <c r="V279" s="142"/>
      <c r="W279" s="142"/>
      <c r="X279" s="142"/>
      <c r="Y279" s="142"/>
      <c r="Z279" s="142"/>
      <c r="AA279" s="142"/>
      <c r="AB279" s="142"/>
      <c r="AC279" s="142"/>
      <c r="AD279" s="142"/>
      <c r="AE279" s="142"/>
    </row>
    <row r="280" spans="6:31">
      <c r="F280" s="142"/>
      <c r="G280" s="142"/>
      <c r="H280" s="142"/>
      <c r="I280" s="142"/>
      <c r="J280" s="142"/>
      <c r="K280" s="142"/>
      <c r="L280" s="142"/>
      <c r="M280" s="142"/>
      <c r="N280" s="142"/>
      <c r="O280" s="142"/>
      <c r="P280" s="142"/>
      <c r="Q280" s="142"/>
      <c r="R280" s="142"/>
      <c r="S280" s="142"/>
      <c r="T280" s="142"/>
      <c r="U280" s="142"/>
      <c r="V280" s="142"/>
      <c r="W280" s="142"/>
      <c r="X280" s="142"/>
      <c r="Y280" s="142"/>
      <c r="Z280" s="142"/>
      <c r="AA280" s="142"/>
      <c r="AB280" s="142"/>
      <c r="AC280" s="142"/>
      <c r="AD280" s="142"/>
      <c r="AE280" s="142"/>
    </row>
    <row r="281" spans="6:31">
      <c r="F281" s="142"/>
      <c r="G281" s="142"/>
      <c r="H281" s="142"/>
      <c r="I281" s="142"/>
      <c r="J281" s="142"/>
      <c r="K281" s="142"/>
      <c r="L281" s="142"/>
      <c r="M281" s="142"/>
      <c r="N281" s="142"/>
      <c r="O281" s="142"/>
      <c r="P281" s="142"/>
      <c r="Q281" s="142"/>
      <c r="R281" s="142"/>
      <c r="S281" s="142"/>
      <c r="T281" s="142"/>
      <c r="U281" s="142"/>
      <c r="V281" s="142"/>
      <c r="W281" s="142"/>
      <c r="X281" s="142"/>
      <c r="Y281" s="142"/>
      <c r="Z281" s="142"/>
      <c r="AA281" s="142"/>
      <c r="AB281" s="142"/>
      <c r="AC281" s="142"/>
      <c r="AD281" s="142"/>
      <c r="AE281" s="142"/>
    </row>
    <row r="282" spans="6:31">
      <c r="F282" s="142"/>
      <c r="G282" s="142"/>
      <c r="H282" s="142"/>
      <c r="I282" s="142"/>
      <c r="J282" s="142"/>
      <c r="K282" s="142"/>
      <c r="L282" s="142"/>
      <c r="M282" s="142"/>
      <c r="N282" s="142"/>
      <c r="O282" s="142"/>
      <c r="P282" s="142"/>
      <c r="Q282" s="142"/>
      <c r="R282" s="142"/>
      <c r="S282" s="142"/>
      <c r="T282" s="142"/>
      <c r="U282" s="142"/>
      <c r="V282" s="142"/>
      <c r="W282" s="142"/>
      <c r="X282" s="142"/>
      <c r="Y282" s="142"/>
      <c r="Z282" s="142"/>
      <c r="AA282" s="142"/>
      <c r="AB282" s="142"/>
      <c r="AC282" s="142"/>
      <c r="AD282" s="142"/>
      <c r="AE282" s="142"/>
    </row>
    <row r="283" spans="6:31">
      <c r="F283" s="142"/>
      <c r="G283" s="142"/>
      <c r="H283" s="142"/>
      <c r="I283" s="142"/>
      <c r="J283" s="142"/>
      <c r="K283" s="142"/>
      <c r="L283" s="142"/>
      <c r="M283" s="142"/>
      <c r="N283" s="142"/>
      <c r="O283" s="142"/>
      <c r="P283" s="142"/>
      <c r="Q283" s="142"/>
      <c r="R283" s="142"/>
      <c r="S283" s="142"/>
      <c r="T283" s="142"/>
      <c r="U283" s="142"/>
      <c r="V283" s="142"/>
      <c r="W283" s="142"/>
      <c r="X283" s="142"/>
      <c r="Y283" s="142"/>
      <c r="Z283" s="142"/>
      <c r="AA283" s="142"/>
      <c r="AB283" s="142"/>
      <c r="AC283" s="142"/>
      <c r="AD283" s="142"/>
      <c r="AE283" s="142"/>
    </row>
    <row r="284" spans="6:31">
      <c r="F284" s="142"/>
      <c r="G284" s="142"/>
      <c r="H284" s="142"/>
      <c r="I284" s="142"/>
      <c r="J284" s="142"/>
      <c r="K284" s="142"/>
      <c r="L284" s="142"/>
      <c r="M284" s="142"/>
      <c r="N284" s="142"/>
      <c r="O284" s="142"/>
      <c r="P284" s="142"/>
      <c r="Q284" s="142"/>
      <c r="R284" s="142"/>
      <c r="S284" s="142"/>
      <c r="T284" s="142"/>
      <c r="U284" s="142"/>
      <c r="V284" s="142"/>
      <c r="W284" s="142"/>
      <c r="X284" s="142"/>
      <c r="Y284" s="142"/>
      <c r="Z284" s="142"/>
      <c r="AA284" s="142"/>
      <c r="AB284" s="142"/>
      <c r="AC284" s="142"/>
      <c r="AD284" s="142"/>
      <c r="AE284" s="142"/>
    </row>
    <row r="285" spans="6:31">
      <c r="F285" s="142"/>
      <c r="G285" s="142"/>
      <c r="H285" s="142"/>
      <c r="I285" s="142"/>
      <c r="J285" s="142"/>
      <c r="K285" s="142"/>
      <c r="L285" s="142"/>
      <c r="M285" s="142"/>
      <c r="N285" s="142"/>
      <c r="O285" s="142"/>
      <c r="P285" s="142"/>
      <c r="Q285" s="142"/>
      <c r="R285" s="142"/>
      <c r="S285" s="142"/>
      <c r="T285" s="142"/>
      <c r="U285" s="142"/>
      <c r="V285" s="142"/>
      <c r="W285" s="142"/>
      <c r="X285" s="142"/>
      <c r="Y285" s="142"/>
      <c r="Z285" s="142"/>
      <c r="AA285" s="142"/>
      <c r="AB285" s="142"/>
      <c r="AC285" s="142"/>
      <c r="AD285" s="142"/>
      <c r="AE285" s="142"/>
    </row>
    <row r="286" spans="6:31">
      <c r="F286" s="142"/>
      <c r="G286" s="142"/>
      <c r="H286" s="142"/>
      <c r="I286" s="142"/>
      <c r="J286" s="142"/>
      <c r="K286" s="142"/>
      <c r="L286" s="142"/>
      <c r="M286" s="142"/>
      <c r="N286" s="142"/>
      <c r="O286" s="142"/>
      <c r="P286" s="142"/>
      <c r="Q286" s="142"/>
      <c r="R286" s="142"/>
      <c r="S286" s="142"/>
      <c r="T286" s="142"/>
      <c r="U286" s="142"/>
      <c r="V286" s="142"/>
      <c r="W286" s="142"/>
      <c r="X286" s="142"/>
      <c r="Y286" s="142"/>
      <c r="Z286" s="142"/>
      <c r="AA286" s="142"/>
      <c r="AB286" s="142"/>
      <c r="AC286" s="142"/>
      <c r="AD286" s="142"/>
      <c r="AE286" s="142"/>
    </row>
    <row r="287" spans="6:31">
      <c r="F287" s="142"/>
      <c r="G287" s="142"/>
      <c r="H287" s="142"/>
      <c r="I287" s="142"/>
      <c r="J287" s="142"/>
      <c r="K287" s="142"/>
      <c r="L287" s="142"/>
      <c r="M287" s="142"/>
      <c r="N287" s="142"/>
      <c r="O287" s="142"/>
      <c r="P287" s="142"/>
      <c r="Q287" s="142"/>
      <c r="R287" s="142"/>
      <c r="S287" s="142"/>
      <c r="T287" s="142"/>
      <c r="U287" s="142"/>
      <c r="V287" s="142"/>
      <c r="W287" s="142"/>
      <c r="X287" s="142"/>
      <c r="Y287" s="142"/>
      <c r="Z287" s="142"/>
      <c r="AA287" s="142"/>
      <c r="AB287" s="142"/>
      <c r="AC287" s="142"/>
      <c r="AD287" s="142"/>
      <c r="AE287" s="142"/>
    </row>
    <row r="288" spans="6:31">
      <c r="F288" s="142"/>
      <c r="G288" s="142"/>
      <c r="H288" s="142"/>
      <c r="I288" s="142"/>
      <c r="J288" s="142"/>
      <c r="K288" s="142"/>
      <c r="L288" s="142"/>
      <c r="M288" s="142"/>
      <c r="N288" s="142"/>
      <c r="O288" s="142"/>
      <c r="P288" s="142"/>
      <c r="Q288" s="142"/>
      <c r="R288" s="142"/>
      <c r="S288" s="142"/>
      <c r="T288" s="142"/>
      <c r="U288" s="142"/>
      <c r="V288" s="142"/>
      <c r="W288" s="142"/>
      <c r="X288" s="142"/>
      <c r="Y288" s="142"/>
      <c r="Z288" s="142"/>
      <c r="AA288" s="142"/>
      <c r="AB288" s="142"/>
      <c r="AC288" s="142"/>
      <c r="AD288" s="142"/>
      <c r="AE288" s="142"/>
    </row>
    <row r="289" spans="6:31">
      <c r="F289" s="142"/>
      <c r="G289" s="142"/>
      <c r="H289" s="142"/>
      <c r="I289" s="142"/>
      <c r="J289" s="142"/>
      <c r="K289" s="142"/>
      <c r="L289" s="142"/>
      <c r="M289" s="142"/>
      <c r="N289" s="142"/>
      <c r="O289" s="142"/>
      <c r="P289" s="142"/>
      <c r="Q289" s="142"/>
      <c r="R289" s="142"/>
      <c r="S289" s="142"/>
      <c r="T289" s="142"/>
      <c r="U289" s="142"/>
      <c r="V289" s="142"/>
      <c r="W289" s="142"/>
      <c r="X289" s="142"/>
      <c r="Y289" s="142"/>
      <c r="Z289" s="142"/>
      <c r="AA289" s="142"/>
      <c r="AB289" s="142"/>
      <c r="AC289" s="142"/>
      <c r="AD289" s="142"/>
      <c r="AE289" s="142"/>
    </row>
    <row r="290" spans="6:31">
      <c r="F290" s="142"/>
      <c r="G290" s="142"/>
      <c r="H290" s="142"/>
      <c r="I290" s="142"/>
      <c r="J290" s="142"/>
      <c r="K290" s="142"/>
      <c r="L290" s="142"/>
      <c r="M290" s="142"/>
      <c r="N290" s="142"/>
      <c r="O290" s="142"/>
      <c r="P290" s="142"/>
      <c r="Q290" s="142"/>
      <c r="R290" s="142"/>
      <c r="S290" s="142"/>
      <c r="T290" s="142"/>
      <c r="U290" s="142"/>
      <c r="V290" s="142"/>
      <c r="W290" s="142"/>
      <c r="X290" s="142"/>
      <c r="Y290" s="142"/>
      <c r="Z290" s="142"/>
      <c r="AA290" s="142"/>
      <c r="AB290" s="142"/>
      <c r="AC290" s="142"/>
      <c r="AD290" s="142"/>
      <c r="AE290" s="142"/>
    </row>
    <row r="291" spans="6:31">
      <c r="F291" s="142"/>
      <c r="G291" s="142"/>
      <c r="H291" s="142"/>
      <c r="I291" s="142"/>
      <c r="J291" s="142"/>
      <c r="K291" s="142"/>
      <c r="L291" s="142"/>
      <c r="M291" s="142"/>
      <c r="N291" s="142"/>
      <c r="O291" s="142"/>
      <c r="P291" s="142"/>
      <c r="Q291" s="142"/>
      <c r="R291" s="142"/>
      <c r="S291" s="142"/>
      <c r="T291" s="142"/>
      <c r="U291" s="142"/>
      <c r="V291" s="142"/>
      <c r="W291" s="142"/>
      <c r="X291" s="142"/>
      <c r="Y291" s="142"/>
      <c r="Z291" s="142"/>
      <c r="AA291" s="142"/>
      <c r="AB291" s="142"/>
      <c r="AC291" s="142"/>
      <c r="AD291" s="142"/>
      <c r="AE291" s="142"/>
    </row>
    <row r="292" spans="6:31">
      <c r="F292" s="142"/>
      <c r="G292" s="142"/>
      <c r="H292" s="142"/>
      <c r="I292" s="142"/>
      <c r="J292" s="142"/>
      <c r="K292" s="142"/>
      <c r="L292" s="142"/>
      <c r="M292" s="142"/>
      <c r="N292" s="142"/>
      <c r="O292" s="142"/>
      <c r="P292" s="142"/>
      <c r="Q292" s="142"/>
      <c r="R292" s="142"/>
      <c r="S292" s="142"/>
      <c r="T292" s="142"/>
      <c r="U292" s="142"/>
      <c r="V292" s="142"/>
      <c r="W292" s="142"/>
      <c r="X292" s="142"/>
      <c r="Y292" s="142"/>
      <c r="Z292" s="142"/>
      <c r="AA292" s="142"/>
      <c r="AB292" s="142"/>
      <c r="AC292" s="142"/>
      <c r="AD292" s="142"/>
      <c r="AE292" s="142"/>
    </row>
    <row r="293" spans="6:31">
      <c r="F293" s="142"/>
      <c r="G293" s="142"/>
      <c r="H293" s="142"/>
      <c r="I293" s="142"/>
      <c r="J293" s="142"/>
      <c r="K293" s="142"/>
      <c r="L293" s="142"/>
      <c r="M293" s="142"/>
      <c r="N293" s="142"/>
      <c r="O293" s="142"/>
      <c r="P293" s="142"/>
      <c r="Q293" s="142"/>
      <c r="R293" s="142"/>
      <c r="S293" s="142"/>
      <c r="T293" s="142"/>
      <c r="U293" s="142"/>
      <c r="V293" s="142"/>
      <c r="W293" s="142"/>
      <c r="X293" s="142"/>
      <c r="Y293" s="142"/>
      <c r="Z293" s="142"/>
      <c r="AA293" s="142"/>
      <c r="AB293" s="142"/>
      <c r="AC293" s="142"/>
      <c r="AD293" s="142"/>
      <c r="AE293" s="142"/>
    </row>
    <row r="294" spans="6:31">
      <c r="F294" s="142"/>
      <c r="G294" s="142"/>
      <c r="H294" s="142"/>
      <c r="I294" s="142"/>
      <c r="J294" s="142"/>
      <c r="K294" s="142"/>
      <c r="L294" s="142"/>
      <c r="M294" s="142"/>
      <c r="N294" s="142"/>
      <c r="O294" s="142"/>
      <c r="P294" s="142"/>
      <c r="Q294" s="142"/>
      <c r="R294" s="142"/>
      <c r="S294" s="142"/>
      <c r="T294" s="142"/>
      <c r="U294" s="142"/>
      <c r="V294" s="142"/>
      <c r="W294" s="142"/>
      <c r="X294" s="142"/>
      <c r="Y294" s="142"/>
      <c r="Z294" s="142"/>
      <c r="AA294" s="142"/>
      <c r="AB294" s="142"/>
      <c r="AC294" s="142"/>
      <c r="AD294" s="142"/>
      <c r="AE294" s="142"/>
    </row>
    <row r="295" spans="6:31">
      <c r="F295" s="142"/>
      <c r="G295" s="142"/>
      <c r="H295" s="142"/>
      <c r="I295" s="142"/>
      <c r="J295" s="142"/>
      <c r="K295" s="142"/>
      <c r="L295" s="142"/>
      <c r="M295" s="142"/>
      <c r="N295" s="142"/>
      <c r="O295" s="142"/>
      <c r="P295" s="142"/>
      <c r="Q295" s="142"/>
      <c r="R295" s="142"/>
      <c r="S295" s="142"/>
      <c r="T295" s="142"/>
      <c r="U295" s="142"/>
      <c r="V295" s="142"/>
      <c r="W295" s="142"/>
      <c r="X295" s="142"/>
      <c r="Y295" s="142"/>
      <c r="Z295" s="142"/>
      <c r="AA295" s="142"/>
      <c r="AB295" s="142"/>
      <c r="AC295" s="142"/>
      <c r="AD295" s="142"/>
      <c r="AE295" s="142"/>
    </row>
    <row r="296" spans="6:31">
      <c r="F296" s="142"/>
      <c r="G296" s="142"/>
      <c r="H296" s="142"/>
      <c r="I296" s="142"/>
      <c r="J296" s="142"/>
      <c r="K296" s="142"/>
      <c r="L296" s="142"/>
      <c r="M296" s="142"/>
      <c r="N296" s="142"/>
      <c r="O296" s="142"/>
      <c r="P296" s="142"/>
      <c r="Q296" s="142"/>
      <c r="R296" s="142"/>
      <c r="S296" s="142"/>
      <c r="T296" s="142"/>
      <c r="U296" s="142"/>
      <c r="V296" s="142"/>
      <c r="W296" s="142"/>
      <c r="X296" s="142"/>
      <c r="Y296" s="142"/>
      <c r="Z296" s="142"/>
      <c r="AA296" s="142"/>
      <c r="AB296" s="142"/>
      <c r="AC296" s="142"/>
      <c r="AD296" s="142"/>
      <c r="AE296" s="142"/>
    </row>
    <row r="297" spans="6:31">
      <c r="F297" s="142"/>
      <c r="G297" s="142"/>
      <c r="H297" s="142"/>
      <c r="I297" s="142"/>
      <c r="J297" s="142"/>
      <c r="K297" s="142"/>
      <c r="L297" s="142"/>
      <c r="M297" s="142"/>
      <c r="N297" s="142"/>
      <c r="O297" s="142"/>
      <c r="P297" s="142"/>
      <c r="Q297" s="142"/>
      <c r="R297" s="142"/>
      <c r="S297" s="142"/>
      <c r="T297" s="142"/>
      <c r="U297" s="142"/>
      <c r="V297" s="142"/>
      <c r="W297" s="142"/>
      <c r="X297" s="142"/>
      <c r="Y297" s="142"/>
      <c r="Z297" s="142"/>
      <c r="AA297" s="142"/>
      <c r="AB297" s="142"/>
      <c r="AC297" s="142"/>
      <c r="AD297" s="142"/>
      <c r="AE297" s="142"/>
    </row>
    <row r="298" spans="6:31">
      <c r="F298" s="142"/>
      <c r="G298" s="142"/>
      <c r="H298" s="142"/>
      <c r="I298" s="142"/>
      <c r="J298" s="142"/>
      <c r="K298" s="142"/>
      <c r="L298" s="142"/>
      <c r="M298" s="142"/>
      <c r="N298" s="142"/>
      <c r="O298" s="142"/>
      <c r="P298" s="142"/>
      <c r="Q298" s="142"/>
      <c r="R298" s="142"/>
      <c r="S298" s="142"/>
      <c r="T298" s="142"/>
      <c r="U298" s="142"/>
      <c r="V298" s="142"/>
      <c r="W298" s="142"/>
      <c r="X298" s="142"/>
      <c r="Y298" s="142"/>
      <c r="Z298" s="142"/>
      <c r="AA298" s="142"/>
      <c r="AB298" s="142"/>
      <c r="AC298" s="142"/>
      <c r="AD298" s="142"/>
      <c r="AE298" s="142"/>
    </row>
    <row r="299" spans="6:31">
      <c r="F299" s="142"/>
      <c r="G299" s="142"/>
      <c r="H299" s="142"/>
      <c r="I299" s="142"/>
      <c r="J299" s="142"/>
      <c r="K299" s="142"/>
      <c r="L299" s="142"/>
      <c r="M299" s="142"/>
      <c r="N299" s="142"/>
      <c r="O299" s="142"/>
      <c r="P299" s="142"/>
      <c r="Q299" s="142"/>
      <c r="R299" s="142"/>
      <c r="S299" s="142"/>
      <c r="T299" s="142"/>
      <c r="U299" s="142"/>
      <c r="V299" s="142"/>
      <c r="W299" s="142"/>
      <c r="X299" s="142"/>
      <c r="Y299" s="142"/>
      <c r="Z299" s="142"/>
      <c r="AA299" s="142"/>
      <c r="AB299" s="142"/>
      <c r="AC299" s="142"/>
      <c r="AD299" s="142"/>
      <c r="AE299" s="142"/>
    </row>
    <row r="300" spans="6:31">
      <c r="F300" s="142"/>
      <c r="G300" s="142"/>
      <c r="H300" s="142"/>
      <c r="I300" s="142"/>
      <c r="J300" s="142"/>
      <c r="K300" s="142"/>
      <c r="L300" s="142"/>
      <c r="M300" s="142"/>
      <c r="N300" s="142"/>
      <c r="O300" s="142"/>
      <c r="P300" s="142"/>
      <c r="Q300" s="142"/>
      <c r="R300" s="142"/>
      <c r="S300" s="142"/>
      <c r="T300" s="142"/>
      <c r="U300" s="142"/>
      <c r="V300" s="142"/>
      <c r="W300" s="142"/>
      <c r="X300" s="142"/>
      <c r="Y300" s="142"/>
      <c r="Z300" s="142"/>
      <c r="AA300" s="142"/>
      <c r="AB300" s="142"/>
      <c r="AC300" s="142"/>
      <c r="AD300" s="142"/>
      <c r="AE300" s="142"/>
    </row>
    <row r="301" spans="6:31">
      <c r="F301" s="142"/>
      <c r="G301" s="142"/>
      <c r="H301" s="142"/>
      <c r="I301" s="142"/>
      <c r="J301" s="142"/>
      <c r="K301" s="142"/>
      <c r="L301" s="142"/>
      <c r="M301" s="142"/>
      <c r="N301" s="142"/>
      <c r="O301" s="142"/>
      <c r="P301" s="142"/>
      <c r="Q301" s="142"/>
      <c r="R301" s="142"/>
      <c r="S301" s="142"/>
      <c r="T301" s="142"/>
      <c r="U301" s="142"/>
      <c r="V301" s="142"/>
      <c r="W301" s="142"/>
      <c r="X301" s="142"/>
      <c r="Y301" s="142"/>
      <c r="Z301" s="142"/>
      <c r="AA301" s="142"/>
      <c r="AB301" s="142"/>
      <c r="AC301" s="142"/>
      <c r="AD301" s="142"/>
      <c r="AE301" s="142"/>
    </row>
    <row r="302" spans="6:31">
      <c r="F302" s="142"/>
      <c r="G302" s="142"/>
      <c r="H302" s="142"/>
      <c r="I302" s="142"/>
      <c r="J302" s="142"/>
      <c r="K302" s="142"/>
      <c r="L302" s="142"/>
      <c r="M302" s="142"/>
      <c r="N302" s="142"/>
      <c r="O302" s="142"/>
      <c r="P302" s="142"/>
      <c r="Q302" s="142"/>
      <c r="R302" s="142"/>
      <c r="S302" s="142"/>
      <c r="T302" s="142"/>
      <c r="U302" s="142"/>
      <c r="V302" s="142"/>
      <c r="W302" s="142"/>
      <c r="X302" s="142"/>
      <c r="Y302" s="142"/>
      <c r="Z302" s="142"/>
      <c r="AA302" s="142"/>
      <c r="AB302" s="142"/>
      <c r="AC302" s="142"/>
      <c r="AD302" s="142"/>
      <c r="AE302" s="142"/>
    </row>
    <row r="303" spans="6:31">
      <c r="F303" s="142"/>
      <c r="G303" s="142"/>
      <c r="H303" s="142"/>
      <c r="I303" s="142"/>
      <c r="J303" s="142"/>
      <c r="K303" s="142"/>
      <c r="L303" s="142"/>
      <c r="M303" s="142"/>
      <c r="N303" s="142"/>
      <c r="O303" s="142"/>
      <c r="P303" s="142"/>
      <c r="Q303" s="142"/>
      <c r="R303" s="142"/>
      <c r="S303" s="142"/>
      <c r="T303" s="142"/>
      <c r="U303" s="142"/>
      <c r="V303" s="142"/>
      <c r="W303" s="142"/>
      <c r="X303" s="142"/>
      <c r="Y303" s="142"/>
      <c r="Z303" s="142"/>
      <c r="AA303" s="142"/>
      <c r="AB303" s="142"/>
      <c r="AC303" s="142"/>
      <c r="AD303" s="142"/>
      <c r="AE303" s="142"/>
    </row>
    <row r="304" spans="6:31">
      <c r="F304" s="142"/>
      <c r="G304" s="142"/>
      <c r="H304" s="142"/>
      <c r="I304" s="142"/>
      <c r="J304" s="142"/>
      <c r="K304" s="142"/>
      <c r="L304" s="142"/>
      <c r="M304" s="142"/>
      <c r="N304" s="142"/>
      <c r="O304" s="142"/>
      <c r="P304" s="142"/>
      <c r="Q304" s="142"/>
      <c r="R304" s="142"/>
      <c r="S304" s="142"/>
      <c r="T304" s="142"/>
      <c r="U304" s="142"/>
      <c r="V304" s="142"/>
      <c r="W304" s="142"/>
      <c r="X304" s="142"/>
      <c r="Y304" s="142"/>
      <c r="Z304" s="142"/>
      <c r="AA304" s="142"/>
      <c r="AB304" s="142"/>
      <c r="AC304" s="142"/>
      <c r="AD304" s="142"/>
      <c r="AE304" s="142"/>
    </row>
    <row r="305" spans="6:31">
      <c r="F305" s="142"/>
      <c r="G305" s="142"/>
      <c r="H305" s="142"/>
      <c r="I305" s="142"/>
      <c r="J305" s="142"/>
      <c r="K305" s="142"/>
      <c r="L305" s="142"/>
      <c r="M305" s="142"/>
      <c r="N305" s="142"/>
      <c r="O305" s="142"/>
      <c r="P305" s="142"/>
      <c r="Q305" s="142"/>
      <c r="R305" s="142"/>
      <c r="S305" s="142"/>
      <c r="T305" s="142"/>
      <c r="U305" s="142"/>
      <c r="V305" s="142"/>
      <c r="W305" s="142"/>
      <c r="X305" s="142"/>
      <c r="Y305" s="142"/>
      <c r="Z305" s="142"/>
      <c r="AA305" s="142"/>
      <c r="AB305" s="142"/>
      <c r="AC305" s="142"/>
      <c r="AD305" s="142"/>
      <c r="AE305" s="142"/>
    </row>
    <row r="306" spans="6:31">
      <c r="F306" s="142"/>
      <c r="G306" s="142"/>
      <c r="H306" s="142"/>
      <c r="I306" s="142"/>
      <c r="J306" s="142"/>
      <c r="K306" s="142"/>
      <c r="L306" s="142"/>
      <c r="M306" s="142"/>
      <c r="N306" s="142"/>
      <c r="O306" s="142"/>
      <c r="P306" s="142"/>
      <c r="Q306" s="142"/>
      <c r="R306" s="142"/>
      <c r="S306" s="142"/>
      <c r="T306" s="142"/>
      <c r="U306" s="142"/>
      <c r="V306" s="142"/>
      <c r="W306" s="142"/>
      <c r="X306" s="142"/>
      <c r="Y306" s="142"/>
      <c r="Z306" s="142"/>
      <c r="AA306" s="142"/>
      <c r="AB306" s="142"/>
      <c r="AC306" s="142"/>
      <c r="AD306" s="142"/>
      <c r="AE306" s="142"/>
    </row>
    <row r="307" spans="6:31">
      <c r="F307" s="142"/>
      <c r="G307" s="142"/>
      <c r="H307" s="142"/>
      <c r="I307" s="142"/>
      <c r="J307" s="142"/>
      <c r="K307" s="142"/>
      <c r="L307" s="142"/>
      <c r="M307" s="142"/>
      <c r="N307" s="142"/>
      <c r="O307" s="142"/>
      <c r="P307" s="142"/>
      <c r="Q307" s="142"/>
      <c r="R307" s="142"/>
      <c r="S307" s="142"/>
      <c r="T307" s="142"/>
      <c r="U307" s="142"/>
      <c r="V307" s="142"/>
      <c r="W307" s="142"/>
      <c r="X307" s="142"/>
      <c r="Y307" s="142"/>
      <c r="Z307" s="142"/>
      <c r="AA307" s="142"/>
      <c r="AB307" s="142"/>
      <c r="AC307" s="142"/>
      <c r="AD307" s="142"/>
      <c r="AE307" s="142"/>
    </row>
    <row r="308" spans="6:31">
      <c r="F308" s="142"/>
      <c r="G308" s="142"/>
      <c r="H308" s="142"/>
      <c r="I308" s="142"/>
      <c r="J308" s="142"/>
      <c r="K308" s="142"/>
      <c r="L308" s="142"/>
      <c r="M308" s="142"/>
      <c r="N308" s="142"/>
      <c r="O308" s="142"/>
      <c r="P308" s="142"/>
      <c r="Q308" s="142"/>
      <c r="R308" s="142"/>
      <c r="S308" s="142"/>
      <c r="T308" s="142"/>
      <c r="U308" s="142"/>
      <c r="V308" s="142"/>
      <c r="W308" s="142"/>
      <c r="X308" s="142"/>
      <c r="Y308" s="142"/>
      <c r="Z308" s="142"/>
      <c r="AA308" s="142"/>
      <c r="AB308" s="142"/>
      <c r="AC308" s="142"/>
      <c r="AD308" s="142"/>
      <c r="AE308" s="142"/>
    </row>
    <row r="309" spans="6:31">
      <c r="F309" s="142"/>
      <c r="G309" s="142"/>
      <c r="H309" s="142"/>
      <c r="I309" s="142"/>
      <c r="J309" s="142"/>
      <c r="K309" s="142"/>
      <c r="L309" s="142"/>
      <c r="M309" s="142"/>
      <c r="N309" s="142"/>
      <c r="O309" s="142"/>
      <c r="P309" s="142"/>
      <c r="Q309" s="142"/>
      <c r="R309" s="142"/>
      <c r="S309" s="142"/>
      <c r="T309" s="142"/>
      <c r="U309" s="142"/>
      <c r="V309" s="142"/>
      <c r="W309" s="142"/>
      <c r="X309" s="142"/>
      <c r="Y309" s="142"/>
      <c r="Z309" s="142"/>
      <c r="AA309" s="142"/>
      <c r="AB309" s="142"/>
      <c r="AC309" s="142"/>
      <c r="AD309" s="142"/>
      <c r="AE309" s="142"/>
    </row>
    <row r="310" spans="6:31">
      <c r="F310" s="142"/>
      <c r="G310" s="142"/>
      <c r="H310" s="142"/>
      <c r="I310" s="142"/>
      <c r="J310" s="142"/>
      <c r="K310" s="142"/>
      <c r="L310" s="142"/>
      <c r="M310" s="142"/>
      <c r="N310" s="142"/>
      <c r="O310" s="142"/>
      <c r="P310" s="142"/>
      <c r="Q310" s="142"/>
      <c r="R310" s="142"/>
      <c r="S310" s="142"/>
      <c r="T310" s="142"/>
      <c r="U310" s="142"/>
      <c r="V310" s="142"/>
      <c r="W310" s="142"/>
      <c r="X310" s="142"/>
      <c r="Y310" s="142"/>
      <c r="Z310" s="142"/>
      <c r="AA310" s="142"/>
      <c r="AB310" s="142"/>
      <c r="AC310" s="142"/>
      <c r="AD310" s="142"/>
      <c r="AE310" s="142"/>
    </row>
    <row r="311" spans="6:31">
      <c r="F311" s="142"/>
      <c r="G311" s="142"/>
      <c r="H311" s="142"/>
      <c r="I311" s="142"/>
      <c r="J311" s="142"/>
      <c r="K311" s="142"/>
      <c r="L311" s="142"/>
      <c r="M311" s="142"/>
      <c r="N311" s="142"/>
      <c r="O311" s="142"/>
      <c r="P311" s="142"/>
      <c r="Q311" s="142"/>
      <c r="R311" s="142"/>
      <c r="S311" s="142"/>
      <c r="T311" s="142"/>
      <c r="U311" s="142"/>
      <c r="V311" s="142"/>
      <c r="W311" s="142"/>
      <c r="X311" s="142"/>
      <c r="Y311" s="142"/>
      <c r="Z311" s="142"/>
      <c r="AA311" s="142"/>
      <c r="AB311" s="142"/>
      <c r="AC311" s="142"/>
      <c r="AD311" s="142"/>
      <c r="AE311" s="142"/>
    </row>
    <row r="312" spans="6:31">
      <c r="F312" s="142"/>
      <c r="G312" s="142"/>
      <c r="H312" s="142"/>
      <c r="I312" s="142"/>
      <c r="J312" s="142"/>
      <c r="K312" s="142"/>
      <c r="L312" s="142"/>
      <c r="M312" s="142"/>
      <c r="N312" s="142"/>
      <c r="O312" s="142"/>
      <c r="P312" s="142"/>
      <c r="Q312" s="142"/>
      <c r="R312" s="142"/>
      <c r="S312" s="142"/>
      <c r="T312" s="142"/>
      <c r="U312" s="142"/>
      <c r="V312" s="142"/>
      <c r="W312" s="142"/>
      <c r="X312" s="142"/>
      <c r="Y312" s="142"/>
      <c r="Z312" s="142"/>
      <c r="AA312" s="142"/>
      <c r="AB312" s="142"/>
      <c r="AC312" s="142"/>
      <c r="AD312" s="142"/>
      <c r="AE312" s="142"/>
    </row>
    <row r="313" spans="6:31">
      <c r="F313" s="142"/>
      <c r="G313" s="142"/>
      <c r="H313" s="142"/>
      <c r="I313" s="142"/>
      <c r="J313" s="142"/>
      <c r="K313" s="142"/>
      <c r="L313" s="142"/>
      <c r="M313" s="142"/>
      <c r="N313" s="142"/>
      <c r="O313" s="142"/>
      <c r="P313" s="142"/>
      <c r="Q313" s="142"/>
      <c r="R313" s="142"/>
      <c r="S313" s="142"/>
      <c r="T313" s="142"/>
      <c r="U313" s="142"/>
      <c r="V313" s="142"/>
      <c r="W313" s="142"/>
      <c r="X313" s="142"/>
      <c r="Y313" s="142"/>
      <c r="Z313" s="142"/>
      <c r="AA313" s="142"/>
      <c r="AB313" s="142"/>
      <c r="AC313" s="142"/>
      <c r="AD313" s="142"/>
      <c r="AE313" s="142"/>
    </row>
    <row r="314" spans="6:31">
      <c r="F314" s="142"/>
      <c r="G314" s="142"/>
      <c r="H314" s="142"/>
      <c r="I314" s="142"/>
      <c r="J314" s="142"/>
      <c r="K314" s="142"/>
      <c r="L314" s="142"/>
      <c r="M314" s="142"/>
      <c r="N314" s="142"/>
      <c r="O314" s="142"/>
      <c r="P314" s="142"/>
      <c r="Q314" s="142"/>
      <c r="R314" s="142"/>
      <c r="S314" s="142"/>
      <c r="T314" s="142"/>
      <c r="U314" s="142"/>
      <c r="V314" s="142"/>
      <c r="W314" s="142"/>
      <c r="X314" s="142"/>
      <c r="Y314" s="142"/>
      <c r="Z314" s="142"/>
      <c r="AA314" s="142"/>
      <c r="AB314" s="142"/>
      <c r="AC314" s="142"/>
      <c r="AD314" s="142"/>
      <c r="AE314" s="142"/>
    </row>
    <row r="315" spans="6:31">
      <c r="F315" s="142"/>
      <c r="G315" s="142"/>
      <c r="H315" s="142"/>
      <c r="I315" s="142"/>
      <c r="J315" s="142"/>
      <c r="K315" s="142"/>
      <c r="L315" s="142"/>
      <c r="M315" s="142"/>
      <c r="N315" s="142"/>
      <c r="O315" s="142"/>
      <c r="P315" s="142"/>
      <c r="Q315" s="142"/>
      <c r="R315" s="142"/>
      <c r="S315" s="142"/>
      <c r="T315" s="142"/>
      <c r="U315" s="142"/>
      <c r="V315" s="142"/>
      <c r="W315" s="142"/>
      <c r="X315" s="142"/>
      <c r="Y315" s="142"/>
      <c r="Z315" s="142"/>
      <c r="AA315" s="142"/>
      <c r="AB315" s="142"/>
      <c r="AC315" s="142"/>
      <c r="AD315" s="142"/>
      <c r="AE315" s="142"/>
    </row>
    <row r="316" spans="6:31">
      <c r="F316" s="142"/>
      <c r="G316" s="142"/>
      <c r="H316" s="142"/>
      <c r="I316" s="142"/>
      <c r="J316" s="142"/>
      <c r="K316" s="142"/>
      <c r="L316" s="142"/>
      <c r="M316" s="142"/>
      <c r="N316" s="142"/>
      <c r="O316" s="142"/>
      <c r="P316" s="142"/>
      <c r="Q316" s="142"/>
      <c r="R316" s="142"/>
      <c r="S316" s="142"/>
      <c r="T316" s="142"/>
      <c r="U316" s="142"/>
      <c r="V316" s="142"/>
      <c r="W316" s="142"/>
      <c r="X316" s="142"/>
      <c r="Y316" s="142"/>
      <c r="Z316" s="142"/>
      <c r="AA316" s="142"/>
      <c r="AB316" s="142"/>
      <c r="AC316" s="142"/>
      <c r="AD316" s="142"/>
      <c r="AE316" s="142"/>
    </row>
    <row r="317" spans="6:31">
      <c r="F317" s="142"/>
      <c r="G317" s="142"/>
      <c r="H317" s="142"/>
      <c r="I317" s="142"/>
      <c r="J317" s="142"/>
      <c r="K317" s="142"/>
      <c r="L317" s="142"/>
      <c r="M317" s="142"/>
      <c r="N317" s="142"/>
      <c r="O317" s="142"/>
      <c r="P317" s="142"/>
      <c r="Q317" s="142"/>
      <c r="R317" s="142"/>
      <c r="S317" s="142"/>
      <c r="T317" s="142"/>
      <c r="U317" s="142"/>
      <c r="V317" s="142"/>
      <c r="W317" s="142"/>
      <c r="X317" s="142"/>
      <c r="Y317" s="142"/>
      <c r="Z317" s="142"/>
      <c r="AA317" s="142"/>
      <c r="AB317" s="142"/>
      <c r="AC317" s="142"/>
      <c r="AD317" s="142"/>
      <c r="AE317" s="142"/>
    </row>
    <row r="318" spans="6:31">
      <c r="F318" s="142"/>
      <c r="G318" s="142"/>
      <c r="H318" s="142"/>
      <c r="I318" s="142"/>
      <c r="J318" s="142"/>
      <c r="K318" s="142"/>
      <c r="L318" s="142"/>
      <c r="M318" s="142"/>
      <c r="N318" s="142"/>
      <c r="O318" s="142"/>
      <c r="P318" s="142"/>
      <c r="Q318" s="142"/>
      <c r="R318" s="142"/>
      <c r="S318" s="142"/>
      <c r="T318" s="142"/>
      <c r="U318" s="142"/>
      <c r="V318" s="142"/>
      <c r="W318" s="142"/>
      <c r="X318" s="142"/>
      <c r="Y318" s="142"/>
      <c r="Z318" s="142"/>
      <c r="AA318" s="142"/>
      <c r="AB318" s="142"/>
      <c r="AC318" s="142"/>
      <c r="AD318" s="142"/>
      <c r="AE318" s="142"/>
    </row>
    <row r="319" spans="6:31">
      <c r="F319" s="142"/>
      <c r="G319" s="142"/>
      <c r="H319" s="142"/>
      <c r="I319" s="142"/>
      <c r="J319" s="142"/>
      <c r="K319" s="142"/>
      <c r="L319" s="142"/>
      <c r="M319" s="142"/>
      <c r="N319" s="142"/>
      <c r="O319" s="142"/>
      <c r="P319" s="142"/>
      <c r="Q319" s="142"/>
      <c r="R319" s="142"/>
      <c r="S319" s="142"/>
      <c r="T319" s="142"/>
      <c r="U319" s="142"/>
      <c r="V319" s="142"/>
      <c r="W319" s="142"/>
      <c r="X319" s="142"/>
      <c r="Y319" s="142"/>
      <c r="Z319" s="142"/>
      <c r="AA319" s="142"/>
      <c r="AB319" s="142"/>
      <c r="AC319" s="142"/>
      <c r="AD319" s="142"/>
      <c r="AE319" s="142"/>
    </row>
    <row r="320" spans="6:31">
      <c r="F320" s="142"/>
      <c r="G320" s="142"/>
      <c r="H320" s="142"/>
      <c r="I320" s="142"/>
      <c r="J320" s="142"/>
      <c r="K320" s="142"/>
      <c r="L320" s="142"/>
      <c r="M320" s="142"/>
      <c r="N320" s="142"/>
      <c r="O320" s="142"/>
      <c r="P320" s="142"/>
      <c r="Q320" s="142"/>
      <c r="R320" s="142"/>
      <c r="S320" s="142"/>
      <c r="T320" s="142"/>
      <c r="U320" s="142"/>
      <c r="V320" s="142"/>
      <c r="W320" s="142"/>
      <c r="X320" s="142"/>
      <c r="Y320" s="142"/>
      <c r="Z320" s="142"/>
      <c r="AA320" s="142"/>
      <c r="AB320" s="142"/>
      <c r="AC320" s="142"/>
      <c r="AD320" s="142"/>
      <c r="AE320" s="142"/>
    </row>
    <row r="321" spans="6:31">
      <c r="F321" s="142"/>
      <c r="G321" s="142"/>
      <c r="H321" s="142"/>
      <c r="I321" s="142"/>
      <c r="J321" s="142"/>
      <c r="K321" s="142"/>
      <c r="L321" s="142"/>
      <c r="M321" s="142"/>
      <c r="N321" s="142"/>
      <c r="O321" s="142"/>
      <c r="P321" s="142"/>
      <c r="Q321" s="142"/>
      <c r="R321" s="142"/>
      <c r="S321" s="142"/>
      <c r="T321" s="142"/>
      <c r="U321" s="142"/>
      <c r="V321" s="142"/>
      <c r="W321" s="142"/>
      <c r="X321" s="142"/>
      <c r="Y321" s="142"/>
      <c r="Z321" s="142"/>
      <c r="AA321" s="142"/>
      <c r="AB321" s="142"/>
      <c r="AC321" s="142"/>
      <c r="AD321" s="142"/>
      <c r="AE321" s="142"/>
    </row>
    <row r="322" spans="6:31">
      <c r="F322" s="142"/>
      <c r="G322" s="142"/>
      <c r="H322" s="142"/>
      <c r="I322" s="142"/>
      <c r="J322" s="142"/>
      <c r="K322" s="142"/>
      <c r="L322" s="142"/>
      <c r="M322" s="142"/>
      <c r="N322" s="142"/>
      <c r="O322" s="142"/>
      <c r="P322" s="142"/>
      <c r="Q322" s="142"/>
      <c r="R322" s="142"/>
      <c r="S322" s="142"/>
      <c r="T322" s="142"/>
      <c r="U322" s="142"/>
      <c r="V322" s="142"/>
      <c r="W322" s="142"/>
      <c r="X322" s="142"/>
      <c r="Y322" s="142"/>
      <c r="Z322" s="142"/>
      <c r="AA322" s="142"/>
      <c r="AB322" s="142"/>
      <c r="AC322" s="142"/>
      <c r="AD322" s="142"/>
      <c r="AE322" s="142"/>
    </row>
    <row r="323" spans="6:31">
      <c r="F323" s="142"/>
      <c r="G323" s="142"/>
      <c r="H323" s="142"/>
      <c r="I323" s="142"/>
      <c r="J323" s="142"/>
      <c r="K323" s="142"/>
      <c r="L323" s="142"/>
      <c r="M323" s="142"/>
      <c r="N323" s="142"/>
      <c r="O323" s="142"/>
      <c r="P323" s="142"/>
      <c r="Q323" s="142"/>
      <c r="R323" s="142"/>
      <c r="S323" s="142"/>
      <c r="T323" s="142"/>
      <c r="U323" s="142"/>
      <c r="V323" s="142"/>
      <c r="W323" s="142"/>
      <c r="X323" s="142"/>
      <c r="Y323" s="142"/>
      <c r="Z323" s="142"/>
      <c r="AA323" s="142"/>
      <c r="AB323" s="142"/>
      <c r="AC323" s="142"/>
      <c r="AD323" s="142"/>
      <c r="AE323" s="142"/>
    </row>
    <row r="324" spans="6:31">
      <c r="F324" s="142"/>
      <c r="G324" s="142"/>
      <c r="H324" s="142"/>
      <c r="I324" s="142"/>
      <c r="J324" s="142"/>
      <c r="K324" s="142"/>
      <c r="L324" s="142"/>
      <c r="M324" s="142"/>
      <c r="N324" s="142"/>
      <c r="O324" s="142"/>
      <c r="P324" s="142"/>
      <c r="Q324" s="142"/>
      <c r="R324" s="142"/>
      <c r="S324" s="142"/>
      <c r="T324" s="142"/>
      <c r="U324" s="142"/>
      <c r="V324" s="142"/>
      <c r="W324" s="142"/>
      <c r="X324" s="142"/>
      <c r="Y324" s="142"/>
      <c r="Z324" s="142"/>
      <c r="AA324" s="142"/>
      <c r="AB324" s="142"/>
      <c r="AC324" s="142"/>
      <c r="AD324" s="142"/>
      <c r="AE324" s="142"/>
    </row>
    <row r="325" spans="6:31">
      <c r="F325" s="142"/>
      <c r="G325" s="142"/>
      <c r="H325" s="142"/>
      <c r="I325" s="142"/>
      <c r="J325" s="142"/>
      <c r="K325" s="142"/>
      <c r="L325" s="142"/>
      <c r="M325" s="142"/>
      <c r="N325" s="142"/>
      <c r="O325" s="142"/>
      <c r="P325" s="142"/>
      <c r="Q325" s="142"/>
      <c r="R325" s="142"/>
      <c r="S325" s="142"/>
      <c r="T325" s="142"/>
      <c r="U325" s="142"/>
      <c r="V325" s="142"/>
      <c r="W325" s="142"/>
      <c r="X325" s="142"/>
      <c r="Y325" s="142"/>
      <c r="Z325" s="142"/>
      <c r="AA325" s="142"/>
      <c r="AB325" s="142"/>
      <c r="AC325" s="142"/>
      <c r="AD325" s="142"/>
      <c r="AE325" s="142"/>
    </row>
    <row r="326" spans="6:31">
      <c r="F326" s="142"/>
      <c r="G326" s="142"/>
      <c r="H326" s="142"/>
      <c r="I326" s="142"/>
      <c r="J326" s="142"/>
      <c r="K326" s="142"/>
      <c r="L326" s="142"/>
      <c r="M326" s="142"/>
      <c r="N326" s="142"/>
      <c r="O326" s="142"/>
      <c r="P326" s="142"/>
      <c r="Q326" s="142"/>
      <c r="R326" s="142"/>
      <c r="S326" s="142"/>
      <c r="T326" s="142"/>
      <c r="U326" s="142"/>
      <c r="V326" s="142"/>
      <c r="W326" s="142"/>
      <c r="X326" s="142"/>
      <c r="Y326" s="142"/>
      <c r="Z326" s="142"/>
      <c r="AA326" s="142"/>
      <c r="AB326" s="142"/>
      <c r="AC326" s="142"/>
      <c r="AD326" s="142"/>
      <c r="AE326" s="142"/>
    </row>
    <row r="327" spans="6:31">
      <c r="F327" s="142"/>
      <c r="G327" s="142"/>
      <c r="H327" s="142"/>
      <c r="I327" s="142"/>
      <c r="J327" s="142"/>
      <c r="K327" s="142"/>
      <c r="L327" s="142"/>
      <c r="M327" s="142"/>
      <c r="N327" s="142"/>
      <c r="O327" s="142"/>
      <c r="P327" s="142"/>
      <c r="Q327" s="142"/>
      <c r="R327" s="142"/>
      <c r="S327" s="142"/>
      <c r="T327" s="142"/>
      <c r="U327" s="142"/>
      <c r="V327" s="142"/>
      <c r="W327" s="142"/>
      <c r="X327" s="142"/>
      <c r="Y327" s="142"/>
      <c r="Z327" s="142"/>
      <c r="AA327" s="142"/>
      <c r="AB327" s="142"/>
      <c r="AC327" s="142"/>
      <c r="AD327" s="142"/>
      <c r="AE327" s="142"/>
    </row>
    <row r="328" spans="6:31">
      <c r="F328" s="142"/>
      <c r="G328" s="142"/>
      <c r="H328" s="142"/>
      <c r="I328" s="142"/>
      <c r="J328" s="142"/>
      <c r="K328" s="142"/>
      <c r="L328" s="142"/>
      <c r="M328" s="142"/>
      <c r="N328" s="142"/>
      <c r="O328" s="142"/>
      <c r="P328" s="142"/>
      <c r="Q328" s="142"/>
      <c r="R328" s="142"/>
      <c r="S328" s="142"/>
      <c r="T328" s="142"/>
      <c r="U328" s="142"/>
      <c r="V328" s="142"/>
      <c r="W328" s="142"/>
      <c r="X328" s="142"/>
      <c r="Y328" s="142"/>
      <c r="Z328" s="142"/>
      <c r="AA328" s="142"/>
      <c r="AB328" s="142"/>
      <c r="AC328" s="142"/>
      <c r="AD328" s="142"/>
      <c r="AE328" s="142"/>
    </row>
    <row r="329" spans="6:31">
      <c r="F329" s="142"/>
      <c r="G329" s="142"/>
      <c r="H329" s="142"/>
      <c r="I329" s="142"/>
      <c r="J329" s="142"/>
      <c r="K329" s="142"/>
      <c r="L329" s="142"/>
      <c r="M329" s="142"/>
      <c r="N329" s="142"/>
      <c r="O329" s="142"/>
      <c r="P329" s="142"/>
      <c r="Q329" s="142"/>
      <c r="R329" s="142"/>
      <c r="S329" s="142"/>
      <c r="T329" s="142"/>
      <c r="U329" s="142"/>
      <c r="V329" s="142"/>
      <c r="W329" s="142"/>
      <c r="X329" s="142"/>
      <c r="Y329" s="142"/>
      <c r="Z329" s="142"/>
      <c r="AA329" s="142"/>
      <c r="AB329" s="142"/>
      <c r="AC329" s="142"/>
      <c r="AD329" s="142"/>
      <c r="AE329" s="142"/>
    </row>
    <row r="330" spans="6:31">
      <c r="F330" s="142"/>
      <c r="G330" s="142"/>
      <c r="H330" s="142"/>
      <c r="I330" s="142"/>
      <c r="J330" s="142"/>
      <c r="K330" s="142"/>
      <c r="L330" s="142"/>
      <c r="M330" s="142"/>
      <c r="N330" s="142"/>
      <c r="O330" s="142"/>
      <c r="P330" s="142"/>
      <c r="Q330" s="142"/>
      <c r="R330" s="142"/>
      <c r="S330" s="142"/>
      <c r="T330" s="142"/>
      <c r="U330" s="142"/>
      <c r="V330" s="142"/>
      <c r="W330" s="142"/>
      <c r="X330" s="142"/>
      <c r="Y330" s="142"/>
      <c r="Z330" s="142"/>
      <c r="AA330" s="142"/>
      <c r="AB330" s="142"/>
      <c r="AC330" s="142"/>
      <c r="AD330" s="142"/>
      <c r="AE330" s="142"/>
    </row>
    <row r="331" spans="6:31">
      <c r="F331" s="142"/>
      <c r="G331" s="142"/>
      <c r="H331" s="142"/>
      <c r="I331" s="142"/>
      <c r="J331" s="142"/>
      <c r="K331" s="142"/>
      <c r="L331" s="142"/>
      <c r="M331" s="142"/>
      <c r="N331" s="142"/>
      <c r="O331" s="142"/>
      <c r="P331" s="142"/>
      <c r="Q331" s="142"/>
      <c r="R331" s="142"/>
      <c r="S331" s="142"/>
      <c r="T331" s="142"/>
      <c r="U331" s="142"/>
      <c r="V331" s="142"/>
      <c r="W331" s="142"/>
      <c r="X331" s="142"/>
      <c r="Y331" s="142"/>
      <c r="Z331" s="142"/>
      <c r="AA331" s="142"/>
      <c r="AB331" s="142"/>
      <c r="AC331" s="142"/>
      <c r="AD331" s="142"/>
      <c r="AE331" s="142"/>
    </row>
    <row r="332" spans="6:31">
      <c r="F332" s="142"/>
      <c r="G332" s="142"/>
      <c r="H332" s="142"/>
      <c r="I332" s="142"/>
      <c r="J332" s="142"/>
      <c r="K332" s="142"/>
      <c r="L332" s="142"/>
      <c r="M332" s="142"/>
      <c r="N332" s="142"/>
      <c r="O332" s="142"/>
      <c r="P332" s="142"/>
      <c r="Q332" s="142"/>
      <c r="R332" s="142"/>
      <c r="S332" s="142"/>
      <c r="T332" s="142"/>
      <c r="U332" s="142"/>
      <c r="V332" s="142"/>
      <c r="W332" s="142"/>
      <c r="X332" s="142"/>
      <c r="Y332" s="142"/>
      <c r="Z332" s="142"/>
      <c r="AA332" s="142"/>
      <c r="AB332" s="142"/>
      <c r="AC332" s="142"/>
      <c r="AD332" s="142"/>
      <c r="AE332" s="142"/>
    </row>
    <row r="333" spans="6:31">
      <c r="F333" s="142"/>
      <c r="G333" s="142"/>
      <c r="H333" s="142"/>
      <c r="I333" s="142"/>
      <c r="J333" s="142"/>
      <c r="K333" s="142"/>
      <c r="L333" s="142"/>
      <c r="M333" s="142"/>
      <c r="N333" s="142"/>
      <c r="O333" s="142"/>
      <c r="P333" s="142"/>
      <c r="Q333" s="142"/>
      <c r="R333" s="142"/>
      <c r="S333" s="142"/>
      <c r="T333" s="142"/>
      <c r="U333" s="142"/>
      <c r="V333" s="142"/>
      <c r="W333" s="142"/>
      <c r="X333" s="142"/>
      <c r="Y333" s="142"/>
      <c r="Z333" s="142"/>
      <c r="AA333" s="142"/>
      <c r="AB333" s="142"/>
      <c r="AC333" s="142"/>
      <c r="AD333" s="142"/>
      <c r="AE333" s="142"/>
    </row>
    <row r="334" spans="6:31">
      <c r="F334" s="142"/>
      <c r="G334" s="142"/>
      <c r="H334" s="142"/>
      <c r="I334" s="142"/>
      <c r="J334" s="142"/>
      <c r="K334" s="142"/>
      <c r="L334" s="142"/>
      <c r="M334" s="142"/>
      <c r="N334" s="142"/>
      <c r="O334" s="142"/>
      <c r="P334" s="142"/>
      <c r="Q334" s="142"/>
      <c r="R334" s="142"/>
      <c r="S334" s="142"/>
      <c r="T334" s="142"/>
      <c r="U334" s="142"/>
      <c r="V334" s="142"/>
      <c r="W334" s="142"/>
      <c r="X334" s="142"/>
      <c r="Y334" s="142"/>
      <c r="Z334" s="142"/>
      <c r="AA334" s="142"/>
      <c r="AB334" s="142"/>
      <c r="AC334" s="142"/>
      <c r="AD334" s="142"/>
      <c r="AE334" s="142"/>
    </row>
    <row r="335" spans="6:31">
      <c r="F335" s="142"/>
      <c r="G335" s="142"/>
      <c r="H335" s="142"/>
      <c r="I335" s="142"/>
      <c r="J335" s="142"/>
      <c r="K335" s="142"/>
      <c r="L335" s="142"/>
      <c r="M335" s="142"/>
      <c r="N335" s="142"/>
      <c r="O335" s="142"/>
      <c r="P335" s="142"/>
      <c r="Q335" s="142"/>
      <c r="R335" s="142"/>
      <c r="S335" s="142"/>
      <c r="T335" s="142"/>
      <c r="U335" s="142"/>
      <c r="V335" s="142"/>
      <c r="W335" s="142"/>
      <c r="X335" s="142"/>
      <c r="Y335" s="142"/>
      <c r="Z335" s="142"/>
      <c r="AA335" s="142"/>
      <c r="AB335" s="142"/>
      <c r="AC335" s="142"/>
      <c r="AD335" s="142"/>
      <c r="AE335" s="142"/>
    </row>
    <row r="336" spans="6:31">
      <c r="F336" s="142"/>
      <c r="G336" s="142"/>
      <c r="H336" s="142"/>
      <c r="I336" s="142"/>
      <c r="J336" s="142"/>
      <c r="K336" s="142"/>
      <c r="L336" s="142"/>
      <c r="M336" s="142"/>
      <c r="N336" s="142"/>
      <c r="O336" s="142"/>
      <c r="P336" s="142"/>
      <c r="Q336" s="142"/>
      <c r="R336" s="142"/>
      <c r="S336" s="142"/>
      <c r="T336" s="142"/>
      <c r="U336" s="142"/>
      <c r="V336" s="142"/>
      <c r="W336" s="142"/>
      <c r="X336" s="142"/>
      <c r="Y336" s="142"/>
      <c r="Z336" s="142"/>
      <c r="AA336" s="142"/>
      <c r="AB336" s="142"/>
      <c r="AC336" s="142"/>
      <c r="AD336" s="142"/>
      <c r="AE336" s="142"/>
    </row>
    <row r="337" spans="6:31">
      <c r="F337" s="142"/>
      <c r="G337" s="142"/>
      <c r="H337" s="142"/>
      <c r="I337" s="142"/>
      <c r="J337" s="142"/>
      <c r="K337" s="142"/>
      <c r="L337" s="142"/>
      <c r="M337" s="142"/>
      <c r="N337" s="142"/>
      <c r="O337" s="142"/>
      <c r="P337" s="142"/>
      <c r="Q337" s="142"/>
      <c r="R337" s="142"/>
      <c r="S337" s="142"/>
      <c r="T337" s="142"/>
      <c r="U337" s="142"/>
      <c r="V337" s="142"/>
      <c r="W337" s="142"/>
      <c r="X337" s="142"/>
      <c r="Y337" s="142"/>
      <c r="Z337" s="142"/>
      <c r="AA337" s="142"/>
      <c r="AB337" s="142"/>
      <c r="AC337" s="142"/>
      <c r="AD337" s="142"/>
      <c r="AE337" s="142"/>
    </row>
    <row r="338" spans="6:31">
      <c r="F338" s="142"/>
      <c r="G338" s="142"/>
      <c r="H338" s="142"/>
      <c r="I338" s="142"/>
      <c r="J338" s="142"/>
      <c r="K338" s="142"/>
      <c r="L338" s="142"/>
      <c r="M338" s="142"/>
      <c r="N338" s="142"/>
      <c r="O338" s="142"/>
      <c r="P338" s="142"/>
      <c r="Q338" s="142"/>
      <c r="R338" s="142"/>
      <c r="S338" s="142"/>
      <c r="T338" s="142"/>
      <c r="U338" s="142"/>
      <c r="V338" s="142"/>
      <c r="W338" s="142"/>
      <c r="X338" s="142"/>
      <c r="Y338" s="142"/>
      <c r="Z338" s="142"/>
      <c r="AA338" s="142"/>
      <c r="AB338" s="142"/>
      <c r="AC338" s="142"/>
      <c r="AD338" s="142"/>
      <c r="AE338" s="142"/>
    </row>
    <row r="339" spans="6:31">
      <c r="F339" s="142"/>
      <c r="G339" s="142"/>
      <c r="H339" s="142"/>
      <c r="I339" s="142"/>
      <c r="J339" s="142"/>
      <c r="K339" s="142"/>
      <c r="L339" s="142"/>
      <c r="M339" s="142"/>
      <c r="N339" s="142"/>
      <c r="O339" s="142"/>
      <c r="P339" s="142"/>
      <c r="Q339" s="142"/>
      <c r="R339" s="142"/>
      <c r="S339" s="142"/>
      <c r="T339" s="142"/>
      <c r="U339" s="142"/>
      <c r="V339" s="142"/>
      <c r="W339" s="142"/>
      <c r="X339" s="142"/>
      <c r="Y339" s="142"/>
      <c r="Z339" s="142"/>
      <c r="AA339" s="142"/>
      <c r="AB339" s="142"/>
      <c r="AC339" s="142"/>
      <c r="AD339" s="142"/>
      <c r="AE339" s="142"/>
    </row>
    <row r="340" spans="6:31">
      <c r="F340" s="142"/>
      <c r="G340" s="142"/>
      <c r="H340" s="142"/>
      <c r="I340" s="142"/>
      <c r="J340" s="142"/>
      <c r="K340" s="142"/>
      <c r="L340" s="142"/>
      <c r="M340" s="142"/>
      <c r="N340" s="142"/>
      <c r="O340" s="142"/>
      <c r="P340" s="142"/>
      <c r="Q340" s="142"/>
      <c r="R340" s="142"/>
      <c r="S340" s="142"/>
      <c r="T340" s="142"/>
      <c r="U340" s="142"/>
      <c r="V340" s="142"/>
      <c r="W340" s="142"/>
      <c r="X340" s="142"/>
      <c r="Y340" s="142"/>
      <c r="Z340" s="142"/>
      <c r="AA340" s="142"/>
      <c r="AB340" s="142"/>
      <c r="AC340" s="142"/>
      <c r="AD340" s="142"/>
      <c r="AE340" s="142"/>
    </row>
    <row r="341" spans="6:31">
      <c r="F341" s="142"/>
      <c r="G341" s="142"/>
      <c r="H341" s="142"/>
      <c r="I341" s="142"/>
      <c r="J341" s="142"/>
      <c r="K341" s="142"/>
      <c r="L341" s="142"/>
      <c r="M341" s="142"/>
      <c r="N341" s="142"/>
      <c r="O341" s="142"/>
      <c r="P341" s="142"/>
      <c r="Q341" s="142"/>
      <c r="R341" s="142"/>
      <c r="S341" s="142"/>
      <c r="T341" s="142"/>
      <c r="U341" s="142"/>
      <c r="V341" s="142"/>
      <c r="W341" s="142"/>
      <c r="X341" s="142"/>
      <c r="Y341" s="142"/>
      <c r="Z341" s="142"/>
      <c r="AA341" s="142"/>
      <c r="AB341" s="142"/>
      <c r="AC341" s="142"/>
      <c r="AD341" s="142"/>
      <c r="AE341" s="142"/>
    </row>
    <row r="342" spans="6:31">
      <c r="F342" s="142"/>
      <c r="G342" s="142"/>
      <c r="H342" s="142"/>
      <c r="I342" s="142"/>
      <c r="J342" s="142"/>
      <c r="K342" s="142"/>
      <c r="L342" s="142"/>
      <c r="M342" s="142"/>
      <c r="N342" s="142"/>
      <c r="O342" s="142"/>
      <c r="P342" s="142"/>
      <c r="Q342" s="142"/>
      <c r="R342" s="142"/>
      <c r="S342" s="142"/>
      <c r="T342" s="142"/>
      <c r="U342" s="142"/>
      <c r="V342" s="142"/>
      <c r="W342" s="142"/>
      <c r="X342" s="142"/>
      <c r="Y342" s="142"/>
      <c r="Z342" s="142"/>
      <c r="AA342" s="142"/>
      <c r="AB342" s="142"/>
      <c r="AC342" s="142"/>
      <c r="AD342" s="142"/>
      <c r="AE342" s="142"/>
    </row>
    <row r="343" spans="6:31">
      <c r="F343" s="142"/>
      <c r="G343" s="142"/>
      <c r="H343" s="142"/>
      <c r="I343" s="142"/>
      <c r="J343" s="142"/>
      <c r="K343" s="142"/>
      <c r="L343" s="142"/>
      <c r="M343" s="142"/>
      <c r="N343" s="142"/>
      <c r="O343" s="142"/>
      <c r="P343" s="142"/>
      <c r="Q343" s="142"/>
      <c r="R343" s="142"/>
      <c r="S343" s="142"/>
      <c r="T343" s="142"/>
      <c r="U343" s="142"/>
      <c r="V343" s="142"/>
      <c r="W343" s="142"/>
      <c r="X343" s="142"/>
      <c r="Y343" s="142"/>
      <c r="Z343" s="142"/>
      <c r="AA343" s="142"/>
      <c r="AB343" s="142"/>
      <c r="AC343" s="142"/>
      <c r="AD343" s="142"/>
      <c r="AE343" s="142"/>
    </row>
    <row r="344" spans="6:31">
      <c r="F344" s="142"/>
      <c r="G344" s="142"/>
      <c r="H344" s="142"/>
      <c r="I344" s="142"/>
      <c r="J344" s="142"/>
      <c r="K344" s="142"/>
      <c r="L344" s="142"/>
      <c r="M344" s="142"/>
      <c r="N344" s="142"/>
      <c r="O344" s="142"/>
      <c r="P344" s="142"/>
      <c r="Q344" s="142"/>
      <c r="R344" s="142"/>
      <c r="S344" s="142"/>
      <c r="T344" s="142"/>
      <c r="U344" s="142"/>
      <c r="V344" s="142"/>
      <c r="W344" s="142"/>
      <c r="X344" s="142"/>
      <c r="Y344" s="142"/>
      <c r="Z344" s="142"/>
      <c r="AA344" s="142"/>
      <c r="AB344" s="142"/>
      <c r="AC344" s="142"/>
      <c r="AD344" s="142"/>
      <c r="AE344" s="142"/>
    </row>
    <row r="345" spans="6:31">
      <c r="F345" s="142"/>
      <c r="G345" s="142"/>
      <c r="H345" s="142"/>
      <c r="I345" s="142"/>
      <c r="J345" s="142"/>
      <c r="K345" s="142"/>
      <c r="L345" s="142"/>
      <c r="M345" s="142"/>
      <c r="N345" s="142"/>
      <c r="O345" s="142"/>
      <c r="P345" s="142"/>
      <c r="Q345" s="142"/>
      <c r="R345" s="142"/>
      <c r="S345" s="142"/>
      <c r="T345" s="142"/>
      <c r="U345" s="142"/>
      <c r="V345" s="142"/>
      <c r="W345" s="142"/>
      <c r="X345" s="142"/>
      <c r="Y345" s="142"/>
      <c r="Z345" s="142"/>
      <c r="AA345" s="142"/>
      <c r="AB345" s="142"/>
      <c r="AC345" s="142"/>
      <c r="AD345" s="142"/>
      <c r="AE345" s="142"/>
    </row>
    <row r="346" spans="6:31">
      <c r="F346" s="142"/>
      <c r="G346" s="142"/>
      <c r="H346" s="142"/>
      <c r="I346" s="142"/>
      <c r="J346" s="142"/>
      <c r="K346" s="142"/>
      <c r="L346" s="142"/>
      <c r="M346" s="142"/>
      <c r="N346" s="142"/>
      <c r="O346" s="142"/>
      <c r="P346" s="142"/>
      <c r="Q346" s="142"/>
      <c r="R346" s="142"/>
      <c r="S346" s="142"/>
      <c r="T346" s="142"/>
      <c r="U346" s="142"/>
      <c r="V346" s="142"/>
      <c r="W346" s="142"/>
      <c r="X346" s="142"/>
      <c r="Y346" s="142"/>
      <c r="Z346" s="142"/>
      <c r="AA346" s="142"/>
      <c r="AB346" s="142"/>
      <c r="AC346" s="142"/>
      <c r="AD346" s="142"/>
      <c r="AE346" s="142"/>
    </row>
    <row r="347" spans="6:31">
      <c r="F347" s="142"/>
      <c r="G347" s="142"/>
      <c r="H347" s="142"/>
      <c r="I347" s="142"/>
      <c r="J347" s="142"/>
      <c r="K347" s="142"/>
      <c r="L347" s="142"/>
      <c r="M347" s="142"/>
      <c r="N347" s="142"/>
      <c r="O347" s="142"/>
      <c r="P347" s="142"/>
      <c r="Q347" s="142"/>
      <c r="R347" s="142"/>
      <c r="S347" s="142"/>
      <c r="T347" s="142"/>
      <c r="U347" s="142"/>
      <c r="V347" s="142"/>
      <c r="W347" s="142"/>
      <c r="X347" s="142"/>
      <c r="Y347" s="142"/>
      <c r="Z347" s="142"/>
      <c r="AA347" s="142"/>
      <c r="AB347" s="142"/>
      <c r="AC347" s="142"/>
      <c r="AD347" s="142"/>
      <c r="AE347" s="142"/>
    </row>
    <row r="348" spans="6:31">
      <c r="F348" s="142"/>
      <c r="G348" s="142"/>
      <c r="H348" s="142"/>
      <c r="I348" s="142"/>
      <c r="J348" s="142"/>
      <c r="K348" s="142"/>
      <c r="L348" s="142"/>
      <c r="M348" s="142"/>
      <c r="N348" s="142"/>
      <c r="O348" s="142"/>
      <c r="P348" s="142"/>
      <c r="Q348" s="142"/>
      <c r="R348" s="142"/>
      <c r="S348" s="142"/>
      <c r="T348" s="142"/>
      <c r="U348" s="142"/>
      <c r="V348" s="142"/>
      <c r="W348" s="142"/>
      <c r="X348" s="142"/>
      <c r="Y348" s="142"/>
      <c r="Z348" s="142"/>
      <c r="AA348" s="142"/>
      <c r="AB348" s="142"/>
      <c r="AC348" s="142"/>
      <c r="AD348" s="142"/>
      <c r="AE348" s="142"/>
    </row>
    <row r="349" spans="6:31">
      <c r="F349" s="142"/>
      <c r="G349" s="142"/>
      <c r="H349" s="142"/>
      <c r="I349" s="142"/>
      <c r="J349" s="142"/>
      <c r="K349" s="142"/>
      <c r="L349" s="142"/>
      <c r="M349" s="142"/>
      <c r="N349" s="142"/>
      <c r="O349" s="142"/>
      <c r="P349" s="142"/>
      <c r="Q349" s="142"/>
      <c r="R349" s="142"/>
      <c r="S349" s="142"/>
      <c r="T349" s="142"/>
      <c r="U349" s="142"/>
      <c r="V349" s="142"/>
      <c r="W349" s="142"/>
      <c r="X349" s="142"/>
      <c r="Y349" s="142"/>
      <c r="Z349" s="142"/>
      <c r="AA349" s="142"/>
      <c r="AB349" s="142"/>
      <c r="AC349" s="142"/>
      <c r="AD349" s="142"/>
      <c r="AE349" s="142"/>
    </row>
    <row r="350" spans="6:31">
      <c r="F350" s="142"/>
      <c r="G350" s="142"/>
      <c r="H350" s="142"/>
      <c r="I350" s="142"/>
      <c r="J350" s="142"/>
      <c r="K350" s="142"/>
      <c r="L350" s="142"/>
      <c r="M350" s="142"/>
      <c r="N350" s="142"/>
      <c r="O350" s="142"/>
      <c r="P350" s="142"/>
      <c r="Q350" s="142"/>
      <c r="R350" s="142"/>
      <c r="S350" s="142"/>
      <c r="T350" s="142"/>
      <c r="U350" s="142"/>
      <c r="V350" s="142"/>
      <c r="W350" s="142"/>
      <c r="X350" s="142"/>
      <c r="Y350" s="142"/>
      <c r="Z350" s="142"/>
      <c r="AA350" s="142"/>
      <c r="AB350" s="142"/>
      <c r="AC350" s="142"/>
      <c r="AD350" s="142"/>
      <c r="AE350" s="142"/>
    </row>
    <row r="351" spans="6:31">
      <c r="F351" s="142"/>
      <c r="G351" s="142"/>
      <c r="H351" s="142"/>
      <c r="I351" s="142"/>
      <c r="J351" s="142"/>
      <c r="K351" s="142"/>
      <c r="L351" s="142"/>
      <c r="M351" s="142"/>
      <c r="N351" s="142"/>
      <c r="O351" s="142"/>
      <c r="P351" s="142"/>
      <c r="Q351" s="142"/>
      <c r="R351" s="142"/>
      <c r="S351" s="142"/>
      <c r="T351" s="142"/>
      <c r="U351" s="142"/>
      <c r="V351" s="142"/>
      <c r="W351" s="142"/>
      <c r="X351" s="142"/>
      <c r="Y351" s="142"/>
      <c r="Z351" s="142"/>
      <c r="AA351" s="142"/>
      <c r="AB351" s="142"/>
      <c r="AC351" s="142"/>
      <c r="AD351" s="142"/>
      <c r="AE351" s="142"/>
    </row>
    <row r="352" spans="6:31">
      <c r="F352" s="142"/>
      <c r="G352" s="142"/>
      <c r="H352" s="142"/>
      <c r="I352" s="142"/>
      <c r="J352" s="142"/>
      <c r="K352" s="142"/>
      <c r="L352" s="142"/>
      <c r="M352" s="142"/>
      <c r="N352" s="142"/>
      <c r="O352" s="142"/>
      <c r="P352" s="142"/>
      <c r="Q352" s="142"/>
      <c r="R352" s="142"/>
      <c r="S352" s="142"/>
      <c r="T352" s="142"/>
      <c r="U352" s="142"/>
      <c r="V352" s="142"/>
      <c r="W352" s="142"/>
      <c r="X352" s="142"/>
      <c r="Y352" s="142"/>
      <c r="Z352" s="142"/>
      <c r="AA352" s="142"/>
      <c r="AB352" s="142"/>
      <c r="AC352" s="142"/>
      <c r="AD352" s="142"/>
      <c r="AE352" s="142"/>
    </row>
    <row r="353" spans="6:31">
      <c r="F353" s="142"/>
      <c r="G353" s="142"/>
      <c r="H353" s="142"/>
      <c r="I353" s="142"/>
      <c r="J353" s="142"/>
      <c r="K353" s="142"/>
      <c r="L353" s="142"/>
      <c r="M353" s="142"/>
      <c r="N353" s="142"/>
      <c r="O353" s="142"/>
      <c r="P353" s="142"/>
      <c r="Q353" s="142"/>
      <c r="R353" s="142"/>
      <c r="S353" s="142"/>
      <c r="T353" s="142"/>
      <c r="U353" s="142"/>
      <c r="V353" s="142"/>
      <c r="W353" s="142"/>
      <c r="X353" s="142"/>
      <c r="Y353" s="142"/>
      <c r="Z353" s="142"/>
      <c r="AA353" s="142"/>
      <c r="AB353" s="142"/>
      <c r="AC353" s="142"/>
      <c r="AD353" s="142"/>
      <c r="AE353" s="142"/>
    </row>
    <row r="354" spans="6:31">
      <c r="F354" s="142"/>
      <c r="G354" s="142"/>
      <c r="H354" s="142"/>
      <c r="I354" s="142"/>
      <c r="J354" s="142"/>
      <c r="K354" s="142"/>
      <c r="L354" s="142"/>
      <c r="M354" s="142"/>
      <c r="N354" s="142"/>
      <c r="O354" s="142"/>
      <c r="P354" s="142"/>
      <c r="Q354" s="142"/>
      <c r="R354" s="142"/>
      <c r="S354" s="142"/>
      <c r="T354" s="142"/>
      <c r="U354" s="142"/>
      <c r="V354" s="142"/>
      <c r="W354" s="142"/>
      <c r="X354" s="142"/>
      <c r="Y354" s="142"/>
      <c r="Z354" s="142"/>
      <c r="AA354" s="142"/>
      <c r="AB354" s="142"/>
      <c r="AC354" s="142"/>
      <c r="AD354" s="142"/>
      <c r="AE354" s="142"/>
    </row>
    <row r="355" spans="6:31">
      <c r="F355" s="142"/>
      <c r="G355" s="142"/>
      <c r="H355" s="142"/>
      <c r="I355" s="142"/>
      <c r="J355" s="142"/>
      <c r="K355" s="142"/>
      <c r="L355" s="142"/>
      <c r="M355" s="142"/>
      <c r="N355" s="142"/>
      <c r="O355" s="142"/>
      <c r="P355" s="142"/>
      <c r="Q355" s="142"/>
      <c r="R355" s="142"/>
      <c r="S355" s="142"/>
      <c r="T355" s="142"/>
      <c r="U355" s="142"/>
      <c r="V355" s="142"/>
      <c r="W355" s="142"/>
      <c r="X355" s="142"/>
      <c r="Y355" s="142"/>
      <c r="Z355" s="142"/>
      <c r="AA355" s="142"/>
      <c r="AB355" s="142"/>
      <c r="AC355" s="142"/>
      <c r="AD355" s="142"/>
      <c r="AE355" s="142"/>
    </row>
    <row r="356" spans="6:31">
      <c r="F356" s="142"/>
      <c r="G356" s="142"/>
      <c r="H356" s="142"/>
      <c r="I356" s="142"/>
      <c r="J356" s="142"/>
      <c r="K356" s="142"/>
      <c r="L356" s="142"/>
      <c r="M356" s="142"/>
      <c r="N356" s="142"/>
      <c r="O356" s="142"/>
      <c r="P356" s="142"/>
      <c r="Q356" s="142"/>
      <c r="R356" s="142"/>
      <c r="S356" s="142"/>
      <c r="T356" s="142"/>
      <c r="U356" s="142"/>
      <c r="V356" s="142"/>
      <c r="W356" s="142"/>
      <c r="X356" s="142"/>
      <c r="Y356" s="142"/>
      <c r="Z356" s="142"/>
      <c r="AA356" s="142"/>
      <c r="AB356" s="142"/>
      <c r="AC356" s="142"/>
      <c r="AD356" s="142"/>
      <c r="AE356" s="142"/>
    </row>
    <row r="357" spans="6:31">
      <c r="F357" s="142"/>
      <c r="G357" s="142"/>
      <c r="H357" s="142"/>
      <c r="I357" s="142"/>
      <c r="J357" s="142"/>
      <c r="K357" s="142"/>
      <c r="L357" s="142"/>
      <c r="M357" s="142"/>
      <c r="N357" s="142"/>
      <c r="O357" s="142"/>
      <c r="P357" s="142"/>
      <c r="Q357" s="142"/>
      <c r="R357" s="142"/>
      <c r="S357" s="142"/>
      <c r="T357" s="142"/>
      <c r="U357" s="142"/>
      <c r="V357" s="142"/>
      <c r="W357" s="142"/>
      <c r="X357" s="142"/>
      <c r="Y357" s="142"/>
      <c r="Z357" s="142"/>
      <c r="AA357" s="142"/>
      <c r="AB357" s="142"/>
      <c r="AC357" s="142"/>
      <c r="AD357" s="142"/>
      <c r="AE357" s="142"/>
    </row>
    <row r="358" spans="6:31">
      <c r="F358" s="142"/>
      <c r="G358" s="142"/>
      <c r="H358" s="142"/>
      <c r="I358" s="142"/>
      <c r="J358" s="142"/>
      <c r="K358" s="142"/>
      <c r="L358" s="142"/>
      <c r="M358" s="142"/>
      <c r="N358" s="142"/>
      <c r="O358" s="142"/>
      <c r="P358" s="142"/>
      <c r="Q358" s="142"/>
      <c r="R358" s="142"/>
      <c r="S358" s="142"/>
      <c r="T358" s="142"/>
      <c r="U358" s="142"/>
      <c r="V358" s="142"/>
      <c r="W358" s="142"/>
      <c r="X358" s="142"/>
      <c r="Y358" s="142"/>
      <c r="Z358" s="142"/>
      <c r="AA358" s="142"/>
      <c r="AB358" s="142"/>
      <c r="AC358" s="142"/>
      <c r="AD358" s="142"/>
      <c r="AE358" s="142"/>
    </row>
    <row r="359" spans="6:31">
      <c r="F359" s="142"/>
      <c r="G359" s="142"/>
      <c r="H359" s="142"/>
      <c r="I359" s="142"/>
      <c r="J359" s="142"/>
      <c r="K359" s="142"/>
      <c r="L359" s="142"/>
      <c r="M359" s="142"/>
      <c r="N359" s="142"/>
      <c r="O359" s="142"/>
      <c r="P359" s="142"/>
      <c r="Q359" s="142"/>
      <c r="R359" s="142"/>
      <c r="S359" s="142"/>
      <c r="T359" s="142"/>
      <c r="U359" s="142"/>
      <c r="V359" s="142"/>
      <c r="W359" s="142"/>
      <c r="X359" s="142"/>
      <c r="Y359" s="142"/>
      <c r="Z359" s="142"/>
      <c r="AA359" s="142"/>
      <c r="AB359" s="142"/>
      <c r="AC359" s="142"/>
      <c r="AD359" s="142"/>
      <c r="AE359" s="142"/>
    </row>
    <row r="360" spans="6:31">
      <c r="F360" s="142"/>
      <c r="G360" s="142"/>
      <c r="H360" s="142"/>
      <c r="I360" s="142"/>
      <c r="J360" s="142"/>
      <c r="K360" s="142"/>
      <c r="L360" s="142"/>
      <c r="M360" s="142"/>
      <c r="N360" s="142"/>
      <c r="O360" s="142"/>
      <c r="P360" s="142"/>
      <c r="Q360" s="142"/>
      <c r="R360" s="142"/>
      <c r="S360" s="142"/>
      <c r="T360" s="142"/>
      <c r="U360" s="142"/>
      <c r="V360" s="142"/>
      <c r="W360" s="142"/>
      <c r="X360" s="142"/>
      <c r="Y360" s="142"/>
      <c r="Z360" s="142"/>
      <c r="AA360" s="142"/>
      <c r="AB360" s="142"/>
      <c r="AC360" s="142"/>
      <c r="AD360" s="142"/>
      <c r="AE360" s="142"/>
    </row>
    <row r="361" spans="6:31">
      <c r="F361" s="142"/>
      <c r="G361" s="142"/>
      <c r="H361" s="142"/>
      <c r="I361" s="142"/>
      <c r="J361" s="142"/>
      <c r="K361" s="142"/>
      <c r="L361" s="142"/>
      <c r="M361" s="142"/>
      <c r="N361" s="142"/>
      <c r="O361" s="142"/>
      <c r="P361" s="142"/>
      <c r="Q361" s="142"/>
      <c r="R361" s="142"/>
      <c r="S361" s="142"/>
      <c r="T361" s="142"/>
      <c r="U361" s="142"/>
      <c r="V361" s="142"/>
      <c r="W361" s="142"/>
      <c r="X361" s="142"/>
      <c r="Y361" s="142"/>
      <c r="Z361" s="142"/>
      <c r="AA361" s="142"/>
      <c r="AB361" s="142"/>
      <c r="AC361" s="142"/>
      <c r="AD361" s="142"/>
      <c r="AE361" s="142"/>
    </row>
    <row r="362" spans="6:31">
      <c r="F362" s="142"/>
      <c r="G362" s="142"/>
      <c r="H362" s="142"/>
      <c r="I362" s="142"/>
      <c r="J362" s="142"/>
      <c r="K362" s="142"/>
      <c r="L362" s="142"/>
      <c r="M362" s="142"/>
      <c r="N362" s="142"/>
      <c r="O362" s="142"/>
      <c r="P362" s="142"/>
      <c r="Q362" s="142"/>
      <c r="R362" s="142"/>
      <c r="S362" s="142"/>
      <c r="T362" s="142"/>
      <c r="U362" s="142"/>
      <c r="V362" s="142"/>
      <c r="W362" s="142"/>
      <c r="X362" s="142"/>
      <c r="Y362" s="142"/>
      <c r="Z362" s="142"/>
      <c r="AA362" s="142"/>
      <c r="AB362" s="142"/>
      <c r="AC362" s="142"/>
      <c r="AD362" s="142"/>
      <c r="AE362" s="142"/>
    </row>
    <row r="363" spans="6:31">
      <c r="F363" s="142"/>
      <c r="G363" s="142"/>
      <c r="H363" s="142"/>
      <c r="I363" s="142"/>
      <c r="J363" s="142"/>
      <c r="K363" s="142"/>
      <c r="L363" s="142"/>
      <c r="M363" s="142"/>
      <c r="N363" s="142"/>
      <c r="O363" s="142"/>
      <c r="P363" s="142"/>
      <c r="Q363" s="142"/>
      <c r="R363" s="142"/>
      <c r="S363" s="142"/>
      <c r="T363" s="142"/>
      <c r="U363" s="142"/>
      <c r="V363" s="142"/>
      <c r="W363" s="142"/>
      <c r="X363" s="142"/>
      <c r="Y363" s="142"/>
      <c r="Z363" s="142"/>
      <c r="AA363" s="142"/>
      <c r="AB363" s="142"/>
      <c r="AC363" s="142"/>
      <c r="AD363" s="142"/>
      <c r="AE363" s="142"/>
    </row>
    <row r="364" spans="6:31">
      <c r="F364" s="142"/>
      <c r="G364" s="142"/>
      <c r="H364" s="142"/>
      <c r="I364" s="142"/>
      <c r="J364" s="142"/>
      <c r="K364" s="142"/>
      <c r="L364" s="142"/>
      <c r="M364" s="142"/>
      <c r="N364" s="142"/>
      <c r="O364" s="142"/>
      <c r="P364" s="142"/>
      <c r="Q364" s="142"/>
      <c r="R364" s="142"/>
      <c r="S364" s="142"/>
      <c r="T364" s="142"/>
      <c r="U364" s="142"/>
      <c r="V364" s="142"/>
      <c r="W364" s="142"/>
      <c r="X364" s="142"/>
      <c r="Y364" s="142"/>
      <c r="Z364" s="142"/>
      <c r="AA364" s="142"/>
      <c r="AB364" s="142"/>
      <c r="AC364" s="142"/>
      <c r="AD364" s="142"/>
      <c r="AE364" s="142"/>
    </row>
    <row r="365" spans="6:31">
      <c r="F365" s="142"/>
      <c r="G365" s="142"/>
      <c r="H365" s="142"/>
      <c r="I365" s="142"/>
      <c r="J365" s="142"/>
      <c r="K365" s="142"/>
      <c r="L365" s="142"/>
      <c r="M365" s="142"/>
      <c r="N365" s="142"/>
      <c r="O365" s="142"/>
      <c r="P365" s="142"/>
      <c r="Q365" s="142"/>
      <c r="R365" s="142"/>
      <c r="S365" s="142"/>
      <c r="T365" s="142"/>
      <c r="U365" s="142"/>
      <c r="V365" s="142"/>
      <c r="W365" s="142"/>
      <c r="X365" s="142"/>
      <c r="Y365" s="142"/>
      <c r="Z365" s="142"/>
      <c r="AA365" s="142"/>
      <c r="AB365" s="142"/>
      <c r="AC365" s="142"/>
      <c r="AD365" s="142"/>
      <c r="AE365" s="142"/>
    </row>
    <row r="366" spans="6:31">
      <c r="F366" s="142"/>
      <c r="G366" s="142"/>
      <c r="H366" s="142"/>
      <c r="I366" s="142"/>
      <c r="J366" s="142"/>
      <c r="K366" s="142"/>
      <c r="L366" s="142"/>
      <c r="M366" s="142"/>
      <c r="N366" s="142"/>
      <c r="O366" s="142"/>
      <c r="P366" s="142"/>
      <c r="Q366" s="142"/>
      <c r="R366" s="142"/>
      <c r="S366" s="142"/>
      <c r="T366" s="142"/>
      <c r="U366" s="142"/>
      <c r="V366" s="142"/>
      <c r="W366" s="142"/>
      <c r="X366" s="142"/>
      <c r="Y366" s="142"/>
      <c r="Z366" s="142"/>
      <c r="AA366" s="142"/>
      <c r="AB366" s="142"/>
      <c r="AC366" s="142"/>
      <c r="AD366" s="142"/>
      <c r="AE366" s="142"/>
    </row>
    <row r="367" spans="6:31">
      <c r="F367" s="142"/>
      <c r="G367" s="142"/>
      <c r="H367" s="142"/>
      <c r="I367" s="142"/>
      <c r="J367" s="142"/>
      <c r="K367" s="142"/>
      <c r="L367" s="142"/>
      <c r="M367" s="142"/>
      <c r="N367" s="142"/>
      <c r="O367" s="142"/>
      <c r="P367" s="142"/>
      <c r="Q367" s="142"/>
      <c r="R367" s="142"/>
      <c r="S367" s="142"/>
      <c r="T367" s="142"/>
      <c r="U367" s="142"/>
      <c r="V367" s="142"/>
      <c r="W367" s="142"/>
      <c r="X367" s="142"/>
      <c r="Y367" s="142"/>
      <c r="Z367" s="142"/>
      <c r="AA367" s="142"/>
      <c r="AB367" s="142"/>
      <c r="AC367" s="142"/>
      <c r="AD367" s="142"/>
      <c r="AE367" s="142"/>
    </row>
    <row r="368" spans="6:31">
      <c r="F368" s="142"/>
      <c r="G368" s="142"/>
      <c r="H368" s="142"/>
      <c r="I368" s="142"/>
      <c r="J368" s="142"/>
      <c r="K368" s="142"/>
      <c r="L368" s="142"/>
      <c r="M368" s="142"/>
      <c r="N368" s="142"/>
      <c r="O368" s="142"/>
      <c r="P368" s="142"/>
      <c r="Q368" s="142"/>
      <c r="R368" s="142"/>
      <c r="S368" s="142"/>
      <c r="T368" s="142"/>
      <c r="U368" s="142"/>
      <c r="V368" s="142"/>
      <c r="W368" s="142"/>
      <c r="X368" s="142"/>
      <c r="Y368" s="142"/>
      <c r="Z368" s="142"/>
      <c r="AA368" s="142"/>
      <c r="AB368" s="142"/>
      <c r="AC368" s="142"/>
      <c r="AD368" s="142"/>
      <c r="AE368" s="142"/>
    </row>
    <row r="369" spans="6:31">
      <c r="F369" s="142"/>
      <c r="G369" s="142"/>
      <c r="H369" s="142"/>
      <c r="I369" s="142"/>
      <c r="J369" s="142"/>
      <c r="K369" s="142"/>
      <c r="L369" s="142"/>
      <c r="M369" s="142"/>
      <c r="N369" s="142"/>
      <c r="O369" s="142"/>
      <c r="P369" s="142"/>
      <c r="Q369" s="142"/>
      <c r="R369" s="142"/>
      <c r="S369" s="142"/>
      <c r="T369" s="142"/>
      <c r="U369" s="142"/>
      <c r="V369" s="142"/>
      <c r="W369" s="142"/>
      <c r="X369" s="142"/>
      <c r="Y369" s="142"/>
      <c r="Z369" s="142"/>
      <c r="AA369" s="142"/>
      <c r="AB369" s="142"/>
      <c r="AC369" s="142"/>
      <c r="AD369" s="142"/>
      <c r="AE369" s="142"/>
    </row>
    <row r="370" spans="6:31">
      <c r="F370" s="142"/>
      <c r="G370" s="142"/>
      <c r="H370" s="142"/>
      <c r="I370" s="142"/>
      <c r="J370" s="142"/>
      <c r="K370" s="142"/>
      <c r="L370" s="142"/>
      <c r="M370" s="142"/>
      <c r="N370" s="142"/>
      <c r="O370" s="142"/>
      <c r="P370" s="142"/>
      <c r="Q370" s="142"/>
      <c r="R370" s="142"/>
      <c r="S370" s="142"/>
      <c r="T370" s="142"/>
      <c r="U370" s="142"/>
      <c r="V370" s="142"/>
      <c r="W370" s="142"/>
      <c r="X370" s="142"/>
      <c r="Y370" s="142"/>
      <c r="Z370" s="142"/>
      <c r="AA370" s="142"/>
      <c r="AB370" s="142"/>
      <c r="AC370" s="142"/>
      <c r="AD370" s="142"/>
      <c r="AE370" s="142"/>
    </row>
    <row r="371" spans="6:31">
      <c r="F371" s="142"/>
      <c r="G371" s="142"/>
      <c r="H371" s="142"/>
      <c r="I371" s="142"/>
      <c r="J371" s="142"/>
      <c r="K371" s="142"/>
      <c r="L371" s="142"/>
      <c r="M371" s="142"/>
      <c r="N371" s="142"/>
      <c r="O371" s="142"/>
      <c r="P371" s="142"/>
      <c r="Q371" s="142"/>
      <c r="R371" s="142"/>
      <c r="S371" s="142"/>
      <c r="T371" s="142"/>
      <c r="U371" s="142"/>
      <c r="V371" s="142"/>
      <c r="W371" s="142"/>
      <c r="X371" s="142"/>
      <c r="Y371" s="142"/>
      <c r="Z371" s="142"/>
      <c r="AA371" s="142"/>
      <c r="AB371" s="142"/>
      <c r="AC371" s="142"/>
      <c r="AD371" s="142"/>
      <c r="AE371" s="142"/>
    </row>
    <row r="372" spans="6:31">
      <c r="F372" s="142"/>
      <c r="G372" s="142"/>
      <c r="H372" s="142"/>
      <c r="I372" s="142"/>
      <c r="J372" s="142"/>
      <c r="K372" s="142"/>
      <c r="L372" s="142"/>
      <c r="M372" s="142"/>
      <c r="N372" s="142"/>
      <c r="O372" s="142"/>
      <c r="P372" s="142"/>
      <c r="Q372" s="142"/>
      <c r="R372" s="142"/>
      <c r="S372" s="142"/>
      <c r="T372" s="142"/>
      <c r="U372" s="142"/>
      <c r="V372" s="142"/>
      <c r="W372" s="142"/>
      <c r="X372" s="142"/>
      <c r="Y372" s="142"/>
      <c r="Z372" s="142"/>
      <c r="AA372" s="142"/>
      <c r="AB372" s="142"/>
      <c r="AC372" s="142"/>
      <c r="AD372" s="142"/>
      <c r="AE372" s="142"/>
    </row>
    <row r="373" spans="6:31">
      <c r="F373" s="142"/>
      <c r="G373" s="142"/>
      <c r="H373" s="142"/>
      <c r="I373" s="142"/>
      <c r="J373" s="142"/>
      <c r="K373" s="142"/>
      <c r="L373" s="142"/>
      <c r="M373" s="142"/>
      <c r="N373" s="142"/>
      <c r="O373" s="142"/>
      <c r="P373" s="142"/>
      <c r="Q373" s="142"/>
      <c r="R373" s="142"/>
      <c r="S373" s="142"/>
      <c r="T373" s="142"/>
      <c r="U373" s="142"/>
      <c r="V373" s="142"/>
      <c r="W373" s="142"/>
      <c r="X373" s="142"/>
      <c r="Y373" s="142"/>
      <c r="Z373" s="142"/>
      <c r="AA373" s="142"/>
      <c r="AB373" s="142"/>
      <c r="AC373" s="142"/>
      <c r="AD373" s="142"/>
      <c r="AE373" s="142"/>
    </row>
    <row r="374" spans="6:31">
      <c r="F374" s="142"/>
      <c r="G374" s="142"/>
      <c r="H374" s="142"/>
      <c r="I374" s="142"/>
      <c r="J374" s="142"/>
      <c r="K374" s="142"/>
      <c r="L374" s="142"/>
      <c r="M374" s="142"/>
      <c r="N374" s="142"/>
      <c r="O374" s="142"/>
      <c r="P374" s="142"/>
      <c r="Q374" s="142"/>
      <c r="R374" s="142"/>
      <c r="S374" s="142"/>
      <c r="T374" s="142"/>
      <c r="U374" s="142"/>
      <c r="V374" s="142"/>
      <c r="W374" s="142"/>
      <c r="X374" s="142"/>
      <c r="Y374" s="142"/>
      <c r="Z374" s="142"/>
      <c r="AA374" s="142"/>
      <c r="AB374" s="142"/>
      <c r="AC374" s="142"/>
      <c r="AD374" s="142"/>
      <c r="AE374" s="142"/>
    </row>
    <row r="375" spans="6:31">
      <c r="F375" s="142"/>
      <c r="G375" s="142"/>
      <c r="H375" s="142"/>
      <c r="I375" s="142"/>
      <c r="J375" s="142"/>
      <c r="K375" s="142"/>
      <c r="L375" s="142"/>
      <c r="M375" s="142"/>
      <c r="N375" s="142"/>
      <c r="O375" s="142"/>
      <c r="P375" s="142"/>
      <c r="Q375" s="142"/>
      <c r="R375" s="142"/>
      <c r="S375" s="142"/>
      <c r="T375" s="142"/>
      <c r="U375" s="142"/>
      <c r="V375" s="142"/>
      <c r="W375" s="142"/>
      <c r="X375" s="142"/>
      <c r="Y375" s="142"/>
      <c r="Z375" s="142"/>
      <c r="AA375" s="142"/>
      <c r="AB375" s="142"/>
      <c r="AC375" s="142"/>
      <c r="AD375" s="142"/>
      <c r="AE375" s="142"/>
    </row>
    <row r="376" spans="6:31">
      <c r="F376" s="142"/>
      <c r="G376" s="142"/>
      <c r="H376" s="142"/>
      <c r="I376" s="142"/>
      <c r="J376" s="142"/>
      <c r="K376" s="142"/>
      <c r="L376" s="142"/>
      <c r="M376" s="142"/>
      <c r="N376" s="142"/>
      <c r="O376" s="142"/>
      <c r="P376" s="142"/>
      <c r="Q376" s="142"/>
      <c r="R376" s="142"/>
      <c r="S376" s="142"/>
      <c r="T376" s="142"/>
      <c r="U376" s="142"/>
      <c r="V376" s="142"/>
      <c r="W376" s="142"/>
      <c r="X376" s="142"/>
      <c r="Y376" s="142"/>
      <c r="Z376" s="142"/>
      <c r="AA376" s="142"/>
      <c r="AB376" s="142"/>
      <c r="AC376" s="142"/>
      <c r="AD376" s="142"/>
      <c r="AE376" s="142"/>
    </row>
    <row r="377" spans="6:31">
      <c r="F377" s="142"/>
      <c r="G377" s="142"/>
      <c r="H377" s="142"/>
      <c r="I377" s="142"/>
      <c r="J377" s="142"/>
      <c r="K377" s="142"/>
      <c r="L377" s="142"/>
      <c r="M377" s="142"/>
      <c r="N377" s="142"/>
      <c r="O377" s="142"/>
      <c r="P377" s="142"/>
      <c r="Q377" s="142"/>
      <c r="R377" s="142"/>
      <c r="S377" s="142"/>
      <c r="T377" s="142"/>
      <c r="U377" s="142"/>
      <c r="V377" s="142"/>
      <c r="W377" s="142"/>
      <c r="X377" s="142"/>
      <c r="Y377" s="142"/>
      <c r="Z377" s="142"/>
      <c r="AA377" s="142"/>
      <c r="AB377" s="142"/>
      <c r="AC377" s="142"/>
      <c r="AD377" s="142"/>
      <c r="AE377" s="142"/>
    </row>
    <row r="378" spans="6:31">
      <c r="F378" s="142"/>
      <c r="G378" s="142"/>
      <c r="H378" s="142"/>
      <c r="I378" s="142"/>
      <c r="J378" s="142"/>
      <c r="K378" s="142"/>
      <c r="L378" s="142"/>
      <c r="M378" s="142"/>
      <c r="N378" s="142"/>
      <c r="O378" s="142"/>
      <c r="P378" s="142"/>
      <c r="Q378" s="142"/>
      <c r="R378" s="142"/>
      <c r="S378" s="142"/>
      <c r="T378" s="142"/>
      <c r="U378" s="142"/>
      <c r="V378" s="142"/>
      <c r="W378" s="142"/>
      <c r="X378" s="142"/>
      <c r="Y378" s="142"/>
      <c r="Z378" s="142"/>
      <c r="AA378" s="142"/>
      <c r="AB378" s="142"/>
      <c r="AC378" s="142"/>
      <c r="AD378" s="142"/>
      <c r="AE378" s="142"/>
    </row>
    <row r="379" spans="6:31">
      <c r="F379" s="142"/>
      <c r="G379" s="142"/>
      <c r="H379" s="142"/>
      <c r="I379" s="142"/>
      <c r="J379" s="142"/>
      <c r="K379" s="142"/>
      <c r="L379" s="142"/>
      <c r="M379" s="142"/>
      <c r="N379" s="142"/>
      <c r="O379" s="142"/>
      <c r="P379" s="142"/>
      <c r="Q379" s="142"/>
      <c r="R379" s="142"/>
      <c r="S379" s="142"/>
      <c r="T379" s="142"/>
      <c r="U379" s="142"/>
      <c r="V379" s="142"/>
      <c r="W379" s="142"/>
      <c r="X379" s="142"/>
      <c r="Y379" s="142"/>
      <c r="Z379" s="142"/>
      <c r="AA379" s="142"/>
      <c r="AB379" s="142"/>
      <c r="AC379" s="142"/>
      <c r="AD379" s="142"/>
      <c r="AE379" s="142"/>
    </row>
    <row r="380" spans="6:31">
      <c r="F380" s="142"/>
      <c r="G380" s="142"/>
      <c r="H380" s="142"/>
      <c r="I380" s="142"/>
      <c r="J380" s="142"/>
      <c r="K380" s="142"/>
      <c r="L380" s="142"/>
      <c r="M380" s="142"/>
      <c r="N380" s="142"/>
      <c r="O380" s="142"/>
      <c r="P380" s="142"/>
      <c r="Q380" s="142"/>
      <c r="R380" s="142"/>
      <c r="S380" s="142"/>
      <c r="T380" s="142"/>
      <c r="U380" s="142"/>
      <c r="V380" s="142"/>
      <c r="W380" s="142"/>
      <c r="X380" s="142"/>
      <c r="Y380" s="142"/>
      <c r="Z380" s="142"/>
      <c r="AA380" s="142"/>
      <c r="AB380" s="142"/>
      <c r="AC380" s="142"/>
      <c r="AD380" s="142"/>
      <c r="AE380" s="142"/>
    </row>
    <row r="381" spans="6:31">
      <c r="F381" s="142"/>
      <c r="G381" s="142"/>
      <c r="H381" s="142"/>
      <c r="I381" s="142"/>
      <c r="J381" s="142"/>
      <c r="K381" s="142"/>
      <c r="L381" s="142"/>
      <c r="M381" s="142"/>
      <c r="N381" s="142"/>
      <c r="O381" s="142"/>
      <c r="P381" s="142"/>
      <c r="Q381" s="142"/>
      <c r="R381" s="142"/>
      <c r="S381" s="142"/>
      <c r="T381" s="142"/>
      <c r="U381" s="142"/>
      <c r="V381" s="142"/>
      <c r="W381" s="142"/>
      <c r="X381" s="142"/>
      <c r="Y381" s="142"/>
      <c r="Z381" s="142"/>
      <c r="AA381" s="142"/>
      <c r="AB381" s="142"/>
      <c r="AC381" s="142"/>
      <c r="AD381" s="142"/>
      <c r="AE381" s="142"/>
    </row>
    <row r="382" spans="6:31">
      <c r="F382" s="142"/>
      <c r="G382" s="142"/>
      <c r="H382" s="142"/>
      <c r="I382" s="142"/>
      <c r="J382" s="142"/>
      <c r="K382" s="142"/>
      <c r="L382" s="142"/>
      <c r="M382" s="142"/>
      <c r="N382" s="142"/>
      <c r="O382" s="142"/>
      <c r="P382" s="142"/>
      <c r="Q382" s="142"/>
      <c r="R382" s="142"/>
      <c r="S382" s="142"/>
      <c r="T382" s="142"/>
      <c r="U382" s="142"/>
      <c r="V382" s="142"/>
      <c r="W382" s="142"/>
      <c r="X382" s="142"/>
      <c r="Y382" s="142"/>
      <c r="Z382" s="142"/>
      <c r="AA382" s="142"/>
      <c r="AB382" s="142"/>
      <c r="AC382" s="142"/>
      <c r="AD382" s="142"/>
      <c r="AE382" s="142"/>
    </row>
    <row r="383" spans="6:31">
      <c r="F383" s="142"/>
      <c r="G383" s="142"/>
      <c r="H383" s="142"/>
      <c r="I383" s="142"/>
      <c r="J383" s="142"/>
      <c r="K383" s="142"/>
      <c r="L383" s="142"/>
      <c r="M383" s="142"/>
      <c r="N383" s="142"/>
      <c r="O383" s="142"/>
      <c r="P383" s="142"/>
      <c r="Q383" s="142"/>
      <c r="R383" s="142"/>
      <c r="S383" s="142"/>
      <c r="T383" s="142"/>
      <c r="U383" s="142"/>
      <c r="V383" s="142"/>
      <c r="W383" s="142"/>
      <c r="X383" s="142"/>
      <c r="Y383" s="142"/>
      <c r="Z383" s="142"/>
      <c r="AA383" s="142"/>
      <c r="AB383" s="142"/>
      <c r="AC383" s="142"/>
      <c r="AD383" s="142"/>
      <c r="AE383" s="142"/>
    </row>
    <row r="384" spans="6:31">
      <c r="F384" s="142"/>
      <c r="G384" s="142"/>
      <c r="H384" s="142"/>
      <c r="I384" s="142"/>
      <c r="J384" s="142"/>
      <c r="K384" s="142"/>
      <c r="L384" s="142"/>
      <c r="M384" s="142"/>
      <c r="N384" s="142"/>
      <c r="O384" s="142"/>
      <c r="P384" s="142"/>
      <c r="Q384" s="142"/>
      <c r="R384" s="142"/>
      <c r="S384" s="142"/>
      <c r="T384" s="142"/>
      <c r="U384" s="142"/>
      <c r="V384" s="142"/>
      <c r="W384" s="142"/>
      <c r="X384" s="142"/>
      <c r="Y384" s="142"/>
      <c r="Z384" s="142"/>
      <c r="AA384" s="142"/>
      <c r="AB384" s="142"/>
      <c r="AC384" s="142"/>
      <c r="AD384" s="142"/>
      <c r="AE384" s="142"/>
    </row>
    <row r="385" spans="6:31">
      <c r="F385" s="142"/>
      <c r="G385" s="142"/>
      <c r="H385" s="142"/>
      <c r="I385" s="142"/>
      <c r="J385" s="142"/>
      <c r="K385" s="142"/>
      <c r="L385" s="142"/>
      <c r="M385" s="142"/>
      <c r="N385" s="142"/>
      <c r="O385" s="142"/>
      <c r="P385" s="142"/>
      <c r="Q385" s="142"/>
      <c r="R385" s="142"/>
      <c r="S385" s="142"/>
      <c r="T385" s="142"/>
      <c r="U385" s="142"/>
      <c r="V385" s="142"/>
      <c r="W385" s="142"/>
      <c r="X385" s="142"/>
      <c r="Y385" s="142"/>
      <c r="Z385" s="142"/>
      <c r="AA385" s="142"/>
      <c r="AB385" s="142"/>
      <c r="AC385" s="142"/>
      <c r="AD385" s="142"/>
      <c r="AE385" s="142"/>
    </row>
    <row r="386" spans="6:31">
      <c r="F386" s="142"/>
      <c r="G386" s="142"/>
      <c r="H386" s="142"/>
      <c r="I386" s="142"/>
      <c r="J386" s="142"/>
      <c r="K386" s="142"/>
      <c r="L386" s="142"/>
      <c r="M386" s="142"/>
      <c r="N386" s="142"/>
      <c r="O386" s="142"/>
      <c r="P386" s="142"/>
      <c r="Q386" s="142"/>
      <c r="R386" s="142"/>
      <c r="S386" s="142"/>
      <c r="T386" s="142"/>
      <c r="U386" s="142"/>
      <c r="V386" s="142"/>
      <c r="W386" s="142"/>
      <c r="X386" s="142"/>
      <c r="Y386" s="142"/>
      <c r="Z386" s="142"/>
      <c r="AA386" s="142"/>
      <c r="AB386" s="142"/>
      <c r="AC386" s="142"/>
      <c r="AD386" s="142"/>
      <c r="AE386" s="142"/>
    </row>
    <row r="387" spans="6:31">
      <c r="F387" s="142"/>
      <c r="G387" s="142"/>
      <c r="H387" s="142"/>
      <c r="I387" s="142"/>
      <c r="J387" s="142"/>
      <c r="K387" s="142"/>
      <c r="L387" s="142"/>
      <c r="M387" s="142"/>
      <c r="N387" s="142"/>
      <c r="O387" s="142"/>
      <c r="P387" s="142"/>
      <c r="Q387" s="142"/>
      <c r="R387" s="142"/>
      <c r="S387" s="142"/>
      <c r="T387" s="142"/>
      <c r="U387" s="142"/>
      <c r="V387" s="142"/>
      <c r="W387" s="142"/>
      <c r="X387" s="142"/>
      <c r="Y387" s="142"/>
      <c r="Z387" s="142"/>
      <c r="AA387" s="142"/>
      <c r="AB387" s="142"/>
      <c r="AC387" s="142"/>
      <c r="AD387" s="142"/>
      <c r="AE387" s="142"/>
    </row>
    <row r="388" spans="6:31">
      <c r="F388" s="142"/>
      <c r="G388" s="142"/>
      <c r="H388" s="142"/>
      <c r="I388" s="142"/>
      <c r="J388" s="142"/>
      <c r="K388" s="142"/>
      <c r="L388" s="142"/>
      <c r="M388" s="142"/>
      <c r="N388" s="142"/>
      <c r="O388" s="142"/>
      <c r="P388" s="142"/>
      <c r="Q388" s="142"/>
      <c r="R388" s="142"/>
      <c r="S388" s="142"/>
      <c r="T388" s="142"/>
      <c r="U388" s="142"/>
      <c r="V388" s="142"/>
      <c r="W388" s="142"/>
      <c r="X388" s="142"/>
      <c r="Y388" s="142"/>
      <c r="Z388" s="142"/>
      <c r="AA388" s="142"/>
      <c r="AB388" s="142"/>
      <c r="AC388" s="142"/>
      <c r="AD388" s="142"/>
      <c r="AE388" s="142"/>
    </row>
    <row r="389" spans="6:31">
      <c r="F389" s="142"/>
      <c r="G389" s="142"/>
      <c r="H389" s="142"/>
      <c r="I389" s="142"/>
      <c r="J389" s="142"/>
      <c r="K389" s="142"/>
      <c r="L389" s="142"/>
      <c r="M389" s="142"/>
      <c r="N389" s="142"/>
      <c r="O389" s="142"/>
      <c r="P389" s="142"/>
      <c r="Q389" s="142"/>
      <c r="R389" s="142"/>
      <c r="S389" s="142"/>
      <c r="T389" s="142"/>
      <c r="U389" s="142"/>
      <c r="V389" s="142"/>
      <c r="W389" s="142"/>
      <c r="X389" s="142"/>
      <c r="Y389" s="142"/>
      <c r="Z389" s="142"/>
      <c r="AA389" s="142"/>
      <c r="AB389" s="142"/>
      <c r="AC389" s="142"/>
      <c r="AD389" s="142"/>
      <c r="AE389" s="142"/>
    </row>
    <row r="390" spans="6:31">
      <c r="F390" s="142"/>
      <c r="G390" s="142"/>
      <c r="H390" s="142"/>
      <c r="I390" s="142"/>
      <c r="J390" s="142"/>
      <c r="K390" s="142"/>
      <c r="L390" s="142"/>
      <c r="M390" s="142"/>
      <c r="N390" s="142"/>
      <c r="O390" s="142"/>
      <c r="P390" s="142"/>
      <c r="Q390" s="142"/>
      <c r="R390" s="142"/>
      <c r="S390" s="142"/>
      <c r="T390" s="142"/>
      <c r="U390" s="142"/>
      <c r="V390" s="142"/>
      <c r="W390" s="142"/>
      <c r="X390" s="142"/>
      <c r="Y390" s="142"/>
      <c r="Z390" s="142"/>
      <c r="AA390" s="142"/>
      <c r="AB390" s="142"/>
      <c r="AC390" s="142"/>
      <c r="AD390" s="142"/>
      <c r="AE390" s="142"/>
    </row>
    <row r="391" spans="6:31">
      <c r="F391" s="142"/>
      <c r="G391" s="142"/>
      <c r="H391" s="142"/>
      <c r="I391" s="142"/>
      <c r="J391" s="142"/>
      <c r="K391" s="142"/>
      <c r="L391" s="142"/>
      <c r="M391" s="142"/>
      <c r="N391" s="142"/>
      <c r="O391" s="142"/>
      <c r="P391" s="142"/>
      <c r="Q391" s="142"/>
      <c r="R391" s="142"/>
      <c r="S391" s="142"/>
      <c r="T391" s="142"/>
      <c r="U391" s="142"/>
      <c r="V391" s="142"/>
      <c r="W391" s="142"/>
      <c r="X391" s="142"/>
      <c r="Y391" s="142"/>
      <c r="Z391" s="142"/>
      <c r="AA391" s="142"/>
      <c r="AB391" s="142"/>
      <c r="AC391" s="142"/>
      <c r="AD391" s="142"/>
      <c r="AE391" s="142"/>
    </row>
    <row r="392" spans="6:31">
      <c r="F392" s="142"/>
      <c r="G392" s="142"/>
      <c r="H392" s="142"/>
      <c r="I392" s="142"/>
      <c r="J392" s="142"/>
      <c r="K392" s="142"/>
      <c r="L392" s="142"/>
      <c r="M392" s="142"/>
      <c r="N392" s="142"/>
      <c r="O392" s="142"/>
      <c r="P392" s="142"/>
      <c r="Q392" s="142"/>
      <c r="R392" s="142"/>
      <c r="S392" s="142"/>
      <c r="T392" s="142"/>
      <c r="U392" s="142"/>
      <c r="V392" s="142"/>
      <c r="W392" s="142"/>
      <c r="X392" s="142"/>
      <c r="Y392" s="142"/>
      <c r="Z392" s="142"/>
      <c r="AA392" s="142"/>
      <c r="AB392" s="142"/>
      <c r="AC392" s="142"/>
      <c r="AD392" s="142"/>
      <c r="AE392" s="142"/>
    </row>
    <row r="393" spans="6:31">
      <c r="F393" s="142"/>
      <c r="G393" s="142"/>
      <c r="H393" s="142"/>
      <c r="I393" s="142"/>
      <c r="J393" s="142"/>
      <c r="K393" s="142"/>
      <c r="L393" s="142"/>
      <c r="M393" s="142"/>
      <c r="N393" s="142"/>
      <c r="O393" s="142"/>
      <c r="P393" s="142"/>
      <c r="Q393" s="142"/>
      <c r="R393" s="142"/>
      <c r="S393" s="142"/>
      <c r="T393" s="142"/>
      <c r="U393" s="142"/>
      <c r="V393" s="142"/>
      <c r="W393" s="142"/>
      <c r="X393" s="142"/>
      <c r="Y393" s="142"/>
      <c r="Z393" s="142"/>
      <c r="AA393" s="142"/>
      <c r="AB393" s="142"/>
      <c r="AC393" s="142"/>
      <c r="AD393" s="142"/>
      <c r="AE393" s="142"/>
    </row>
    <row r="394" spans="6:31">
      <c r="F394" s="142"/>
      <c r="G394" s="142"/>
      <c r="H394" s="142"/>
      <c r="I394" s="142"/>
      <c r="J394" s="142"/>
      <c r="K394" s="142"/>
      <c r="L394" s="142"/>
      <c r="M394" s="142"/>
      <c r="N394" s="142"/>
      <c r="O394" s="142"/>
      <c r="P394" s="142"/>
      <c r="Q394" s="142"/>
      <c r="R394" s="142"/>
      <c r="S394" s="142"/>
      <c r="T394" s="142"/>
      <c r="U394" s="142"/>
      <c r="V394" s="142"/>
      <c r="W394" s="142"/>
      <c r="X394" s="142"/>
      <c r="Y394" s="142"/>
      <c r="Z394" s="142"/>
      <c r="AA394" s="142"/>
      <c r="AB394" s="142"/>
      <c r="AC394" s="142"/>
      <c r="AD394" s="142"/>
      <c r="AE394" s="142"/>
    </row>
    <row r="395" spans="6:31">
      <c r="F395" s="142"/>
      <c r="G395" s="142"/>
      <c r="H395" s="142"/>
      <c r="I395" s="142"/>
      <c r="J395" s="142"/>
      <c r="K395" s="142"/>
      <c r="L395" s="142"/>
      <c r="M395" s="142"/>
      <c r="N395" s="142"/>
      <c r="O395" s="142"/>
      <c r="P395" s="142"/>
      <c r="Q395" s="142"/>
      <c r="R395" s="142"/>
      <c r="S395" s="142"/>
      <c r="T395" s="142"/>
      <c r="U395" s="142"/>
      <c r="V395" s="142"/>
      <c r="W395" s="142"/>
      <c r="X395" s="142"/>
      <c r="Y395" s="142"/>
      <c r="Z395" s="142"/>
      <c r="AA395" s="142"/>
      <c r="AB395" s="142"/>
      <c r="AC395" s="142"/>
      <c r="AD395" s="142"/>
      <c r="AE395" s="142"/>
    </row>
    <row r="396" spans="6:31">
      <c r="F396" s="142"/>
      <c r="G396" s="142"/>
      <c r="H396" s="142"/>
      <c r="I396" s="142"/>
      <c r="J396" s="142"/>
      <c r="K396" s="142"/>
      <c r="L396" s="142"/>
      <c r="M396" s="142"/>
      <c r="N396" s="142"/>
      <c r="O396" s="142"/>
      <c r="P396" s="142"/>
      <c r="Q396" s="142"/>
      <c r="R396" s="142"/>
      <c r="S396" s="142"/>
      <c r="T396" s="142"/>
      <c r="U396" s="142"/>
      <c r="V396" s="142"/>
      <c r="W396" s="142"/>
      <c r="X396" s="142"/>
      <c r="Y396" s="142"/>
      <c r="Z396" s="142"/>
      <c r="AA396" s="142"/>
      <c r="AB396" s="142"/>
      <c r="AC396" s="142"/>
      <c r="AD396" s="142"/>
      <c r="AE396" s="142"/>
    </row>
    <row r="397" spans="6:31">
      <c r="F397" s="142"/>
      <c r="G397" s="142"/>
      <c r="H397" s="142"/>
      <c r="I397" s="142"/>
      <c r="J397" s="142"/>
      <c r="K397" s="142"/>
      <c r="L397" s="142"/>
      <c r="M397" s="142"/>
      <c r="N397" s="142"/>
      <c r="O397" s="142"/>
      <c r="P397" s="142"/>
      <c r="Q397" s="142"/>
      <c r="R397" s="142"/>
      <c r="S397" s="142"/>
      <c r="T397" s="142"/>
      <c r="U397" s="142"/>
      <c r="V397" s="142"/>
      <c r="W397" s="142"/>
      <c r="X397" s="142"/>
      <c r="Y397" s="142"/>
      <c r="Z397" s="142"/>
      <c r="AA397" s="142"/>
      <c r="AB397" s="142"/>
      <c r="AC397" s="142"/>
      <c r="AD397" s="142"/>
      <c r="AE397" s="142"/>
    </row>
    <row r="398" spans="6:31">
      <c r="F398" s="142"/>
      <c r="G398" s="142"/>
      <c r="H398" s="142"/>
      <c r="I398" s="142"/>
      <c r="J398" s="142"/>
      <c r="K398" s="142"/>
      <c r="L398" s="142"/>
      <c r="M398" s="142"/>
      <c r="N398" s="142"/>
      <c r="O398" s="142"/>
      <c r="P398" s="142"/>
      <c r="Q398" s="142"/>
      <c r="R398" s="142"/>
      <c r="S398" s="142"/>
      <c r="T398" s="142"/>
      <c r="U398" s="142"/>
      <c r="V398" s="142"/>
      <c r="W398" s="142"/>
      <c r="X398" s="142"/>
      <c r="Y398" s="142"/>
      <c r="Z398" s="142"/>
      <c r="AA398" s="142"/>
      <c r="AB398" s="142"/>
      <c r="AC398" s="142"/>
      <c r="AD398" s="142"/>
      <c r="AE398" s="142"/>
    </row>
    <row r="399" spans="6:31">
      <c r="F399" s="142"/>
      <c r="G399" s="142"/>
      <c r="H399" s="142"/>
      <c r="I399" s="142"/>
      <c r="J399" s="142"/>
      <c r="K399" s="142"/>
      <c r="L399" s="142"/>
      <c r="M399" s="142"/>
      <c r="N399" s="142"/>
      <c r="O399" s="142"/>
      <c r="P399" s="142"/>
      <c r="Q399" s="142"/>
      <c r="R399" s="142"/>
      <c r="S399" s="142"/>
      <c r="T399" s="142"/>
      <c r="U399" s="142"/>
      <c r="V399" s="142"/>
      <c r="W399" s="142"/>
      <c r="X399" s="142"/>
      <c r="Y399" s="142"/>
      <c r="Z399" s="142"/>
      <c r="AA399" s="142"/>
      <c r="AB399" s="142"/>
      <c r="AC399" s="142"/>
      <c r="AD399" s="142"/>
      <c r="AE399" s="142"/>
    </row>
    <row r="400" spans="6:31">
      <c r="F400" s="142"/>
      <c r="G400" s="142"/>
      <c r="H400" s="142"/>
      <c r="I400" s="142"/>
      <c r="J400" s="142"/>
      <c r="K400" s="142"/>
      <c r="L400" s="142"/>
      <c r="M400" s="142"/>
      <c r="N400" s="142"/>
      <c r="O400" s="142"/>
      <c r="P400" s="142"/>
      <c r="Q400" s="142"/>
      <c r="R400" s="142"/>
      <c r="S400" s="142"/>
      <c r="T400" s="142"/>
      <c r="U400" s="142"/>
      <c r="V400" s="142"/>
      <c r="W400" s="142"/>
      <c r="X400" s="142"/>
      <c r="Y400" s="142"/>
      <c r="Z400" s="142"/>
      <c r="AA400" s="142"/>
      <c r="AB400" s="142"/>
      <c r="AC400" s="142"/>
      <c r="AD400" s="142"/>
      <c r="AE400" s="142"/>
    </row>
  </sheetData>
  <sheetProtection formatRows="0" insertRows="0" insertHyperlinks="0" deleteRows="0" selectLockedCells="1"/>
  <phoneticPr fontId="0" type="noConversion"/>
  <dataValidations count="3">
    <dataValidation type="whole" errorStyle="warning" operator="greaterThan" allowBlank="1" showInputMessage="1" showErrorMessage="1" errorTitle="Durée en 1/3 de période" error="Le nombre doit être de type entier" sqref="B49:B58 B3:B14 B101:B109 B89:B96 B19:B30 B35:B44 B63:B72 B77:B84" xr:uid="{00000000-0002-0000-0200-000000000000}">
      <formula1>0</formula1>
    </dataValidation>
    <dataValidation type="list" allowBlank="1" showInputMessage="1" showErrorMessage="1" sqref="A35:A44 A89:A96 A101:A109 A49:A58 C24 A3:A14 A19:A30 A63:A72 A77:A84" xr:uid="{00000000-0002-0000-0200-000001000000}">
      <formula1>ListeTaches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B31 B15 B45 B59 B73 B85 B97 B110" xr:uid="{00000000-0002-0000-0200-000002000000}">
      <formula1>0</formula1>
      <formula2>DureePeriode-1</formula2>
    </dataValidation>
  </dataValidations>
  <hyperlinks>
    <hyperlink ref="D12" r:id="rId1" xr:uid="{B3FAC9E5-5D1B-4F54-8DA2-EE32EBF6A910}"/>
    <hyperlink ref="C22" r:id="rId2" xr:uid="{DEA36163-9546-4998-8D44-74FB7E00DC04}"/>
    <hyperlink ref="D64" r:id="rId3" xr:uid="{762E0336-4D36-47A4-8311-45AA3ECD4E67}"/>
    <hyperlink ref="D65" r:id="rId4" xr:uid="{1EBBEA80-83CC-4AA6-96C8-697AD2FB25EF}"/>
    <hyperlink ref="D78" r:id="rId5" xr:uid="{1F843F97-B9BE-44C9-A831-D18671A8E6CC}"/>
    <hyperlink ref="D79" r:id="rId6" xr:uid="{1C062444-6FA8-4704-B26E-FF575E720B1C}"/>
    <hyperlink ref="D95" r:id="rId7" xr:uid="{3278D277-C3F9-4D0E-931B-32FA96BB1A37}"/>
    <hyperlink ref="D104" r:id="rId8" xr:uid="{1BD99B39-037A-46B1-AE00-C311D0048DEC}"/>
    <hyperlink ref="D107" r:id="rId9" xr:uid="{0B17388B-7F44-4039-A615-253E76F6FF13}"/>
    <hyperlink ref="D8" r:id="rId10" xr:uid="{A4270AE2-DEE5-4354-9E29-392D334FEB14}"/>
    <hyperlink ref="D11" r:id="rId11" xr:uid="{47DDE3D8-9DA6-48C5-A2C7-971987BD3C4B}"/>
    <hyperlink ref="D23" r:id="rId12" xr:uid="{1C1268BB-842D-467E-8A70-DB816F822D62}"/>
    <hyperlink ref="D26" r:id="rId13" xr:uid="{4CB2B03C-24F2-4EAE-8C6F-9A27176C6FCF}"/>
    <hyperlink ref="D20" r:id="rId14" xr:uid="{7074554A-E1D8-467D-9E96-1635F688B647}"/>
    <hyperlink ref="D38" r:id="rId15" xr:uid="{11B4A01D-B24B-42AA-83D9-9BBAF9036FC0}"/>
    <hyperlink ref="D82" r:id="rId16" xr:uid="{851A7F21-5BD7-43E4-90B7-BFACDFCB66C7}"/>
    <hyperlink ref="D56" r:id="rId17" xr:uid="{69464427-F6D9-4A38-9CDE-3D3702EDB1BA}"/>
    <hyperlink ref="D57" r:id="rId18" xr:uid="{997E76CD-69B0-4A5B-9798-B2447746E507}"/>
    <hyperlink ref="D83" r:id="rId19" xr:uid="{7C43F389-2D67-4054-9ABE-78DE6B514C82}"/>
  </hyperlink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50" fitToHeight="4" orientation="landscape" r:id="rId20"/>
  <headerFooter alignWithMargins="0">
    <oddHeader>&amp;L&amp;"ETML,Normal"&amp;14ETML&amp;R&amp;14&amp;USection Informatique</oddHeader>
    <oddFooter>&amp;L&amp;14&amp;D - GGZ&amp;C&amp;14&amp;F - &amp;A&amp;R&amp;14&amp;P/&amp;N</oddFooter>
  </headerFooter>
  <drawing r:id="rId21"/>
  <legacyDrawing r:id="rId2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23" name="Button 1">
              <controlPr defaultSize="0" print="0" autoFill="0" autoPict="0" macro="[0]!CopierJNLMaster">
                <anchor moveWithCells="1" sizeWithCells="1">
                  <from>
                    <xdr:col>5</xdr:col>
                    <xdr:colOff>581025</xdr:colOff>
                    <xdr:row>0</xdr:row>
                    <xdr:rowOff>0</xdr:rowOff>
                  </from>
                  <to>
                    <xdr:col>7</xdr:col>
                    <xdr:colOff>285750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24" name="Button 2">
              <controlPr defaultSize="0" print="0" autoFill="0" autoPict="0" macro="[0]!RapatriementRealise">
                <anchor moveWithCells="1" sizeWithCells="1">
                  <from>
                    <xdr:col>4</xdr:col>
                    <xdr:colOff>47625</xdr:colOff>
                    <xdr:row>0</xdr:row>
                    <xdr:rowOff>66675</xdr:rowOff>
                  </from>
                  <to>
                    <xdr:col>5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L21"/>
  <sheetViews>
    <sheetView zoomScale="145" zoomScaleNormal="145" workbookViewId="0">
      <selection activeCell="D12" sqref="D12"/>
    </sheetView>
  </sheetViews>
  <sheetFormatPr defaultColWidth="11.42578125" defaultRowHeight="16.5"/>
  <cols>
    <col min="1" max="1" width="7.42578125" style="154" bestFit="1" customWidth="1"/>
    <col min="2" max="2" width="24.140625" style="154" bestFit="1" customWidth="1"/>
    <col min="3" max="3" width="26.5703125" style="154" bestFit="1" customWidth="1"/>
    <col min="4" max="10" width="11.42578125" style="154"/>
    <col min="11" max="11" width="13" style="154" customWidth="1"/>
    <col min="12" max="16384" width="11.42578125" style="154"/>
  </cols>
  <sheetData>
    <row r="1" spans="1:12">
      <c r="D1" s="155" t="s">
        <v>131</v>
      </c>
      <c r="E1" s="156">
        <v>0.4</v>
      </c>
      <c r="F1" s="157">
        <v>35</v>
      </c>
      <c r="G1" s="158" t="s">
        <v>132</v>
      </c>
      <c r="H1" s="159">
        <v>0.6</v>
      </c>
      <c r="I1" s="160">
        <v>16</v>
      </c>
      <c r="J1" s="204" t="s">
        <v>133</v>
      </c>
      <c r="K1" s="204"/>
      <c r="L1" s="204"/>
    </row>
    <row r="2" spans="1:12">
      <c r="D2" s="185" t="s">
        <v>134</v>
      </c>
      <c r="E2" s="156"/>
      <c r="F2" s="157"/>
      <c r="G2" s="184" t="s">
        <v>135</v>
      </c>
      <c r="H2" s="161"/>
      <c r="I2" s="160"/>
      <c r="J2" s="162"/>
      <c r="K2" s="162"/>
      <c r="L2" s="162"/>
    </row>
    <row r="3" spans="1:12" ht="17.25" thickBot="1">
      <c r="D3" s="163" t="s">
        <v>136</v>
      </c>
      <c r="E3" s="163" t="s">
        <v>137</v>
      </c>
      <c r="F3" s="163" t="s">
        <v>138</v>
      </c>
      <c r="G3" s="164" t="s">
        <v>136</v>
      </c>
      <c r="H3" s="164" t="s">
        <v>137</v>
      </c>
      <c r="I3" s="164" t="s">
        <v>138</v>
      </c>
      <c r="J3" s="165" t="s">
        <v>137</v>
      </c>
      <c r="K3" s="165" t="s">
        <v>139</v>
      </c>
      <c r="L3" s="165" t="s">
        <v>138</v>
      </c>
    </row>
    <row r="4" spans="1:12" ht="18" thickTop="1" thickBot="1">
      <c r="A4" s="154" t="s">
        <v>140</v>
      </c>
      <c r="B4" s="153" t="s">
        <v>141</v>
      </c>
      <c r="C4" s="153" t="s">
        <v>142</v>
      </c>
      <c r="D4" s="166">
        <v>27</v>
      </c>
      <c r="E4" s="167">
        <f>D4/$F$1*5+1</f>
        <v>4.8571428571428577</v>
      </c>
      <c r="F4" s="167">
        <f>MROUND(E4,0.5)</f>
        <v>5</v>
      </c>
      <c r="G4" s="168"/>
      <c r="H4" s="169">
        <f>G4/$I$1*5+1</f>
        <v>1</v>
      </c>
      <c r="I4" s="169">
        <f>MROUND(H4,0.5)</f>
        <v>1</v>
      </c>
      <c r="J4" s="170">
        <f>SUM(E4*$E$1,H4*$H$1)</f>
        <v>2.5428571428571431</v>
      </c>
      <c r="K4" s="170">
        <f>SUM(F4*$E$1,I4*$H$1)</f>
        <v>2.6</v>
      </c>
      <c r="L4" s="171">
        <f>MROUND(K4,0.5)</f>
        <v>2.5</v>
      </c>
    </row>
    <row r="5" spans="1:12" ht="18" thickTop="1" thickBot="1">
      <c r="A5" s="154" t="s">
        <v>140</v>
      </c>
      <c r="B5" s="153" t="s">
        <v>143</v>
      </c>
      <c r="C5" s="153" t="s">
        <v>144</v>
      </c>
      <c r="D5" s="166">
        <v>26</v>
      </c>
      <c r="E5" s="167">
        <f>D5/$F$1*5+1</f>
        <v>4.7142857142857144</v>
      </c>
      <c r="F5" s="167">
        <f>MROUND(E5,0.5)</f>
        <v>4.5</v>
      </c>
      <c r="G5" s="168"/>
      <c r="H5" s="169">
        <f>G5/$I$1*5+1</f>
        <v>1</v>
      </c>
      <c r="I5" s="169">
        <f>MROUND(H5,0.5)</f>
        <v>1</v>
      </c>
      <c r="J5" s="170">
        <f t="shared" ref="J5:J17" si="0">SUM(E5*$E$1,H5*$H$1)</f>
        <v>2.4857142857142858</v>
      </c>
      <c r="K5" s="170">
        <f t="shared" ref="K5:K17" si="1">SUM(F5*$E$1,I5*$H$1)</f>
        <v>2.4</v>
      </c>
      <c r="L5" s="171">
        <f t="shared" ref="L5:L18" si="2">MROUND(K5,0.5)</f>
        <v>2.5</v>
      </c>
    </row>
    <row r="6" spans="1:12" ht="18" thickTop="1" thickBot="1">
      <c r="A6" s="154" t="s">
        <v>140</v>
      </c>
      <c r="B6" s="153" t="s">
        <v>145</v>
      </c>
      <c r="C6" s="153" t="s">
        <v>146</v>
      </c>
      <c r="D6" s="166">
        <v>26</v>
      </c>
      <c r="E6" s="167">
        <f t="shared" ref="E6:E17" si="3">D6/$F$1*5+1</f>
        <v>4.7142857142857144</v>
      </c>
      <c r="F6" s="167">
        <f t="shared" ref="F6:F17" si="4">MROUND(E6,0.5)</f>
        <v>4.5</v>
      </c>
      <c r="G6" s="168"/>
      <c r="H6" s="169">
        <f t="shared" ref="H6:H17" si="5">G6/$I$1*5+1</f>
        <v>1</v>
      </c>
      <c r="I6" s="169">
        <f t="shared" ref="I6:I17" si="6">MROUND(H6,0.5)</f>
        <v>1</v>
      </c>
      <c r="J6" s="170">
        <f t="shared" si="0"/>
        <v>2.4857142857142858</v>
      </c>
      <c r="K6" s="170">
        <f t="shared" si="1"/>
        <v>2.4</v>
      </c>
      <c r="L6" s="171">
        <f t="shared" si="2"/>
        <v>2.5</v>
      </c>
    </row>
    <row r="7" spans="1:12" ht="18" thickTop="1" thickBot="1">
      <c r="A7" s="154" t="s">
        <v>140</v>
      </c>
      <c r="B7" s="153" t="s">
        <v>147</v>
      </c>
      <c r="C7" s="153" t="s">
        <v>148</v>
      </c>
      <c r="D7" s="166">
        <v>23</v>
      </c>
      <c r="E7" s="167">
        <f>D7/$F$1*5+1</f>
        <v>4.2857142857142856</v>
      </c>
      <c r="F7" s="167">
        <f>MROUND(E7,0.5)</f>
        <v>4.5</v>
      </c>
      <c r="G7" s="168"/>
      <c r="H7" s="169">
        <f>G7/$I$1*5+1</f>
        <v>1</v>
      </c>
      <c r="I7" s="169">
        <f>MROUND(H7,0.5)</f>
        <v>1</v>
      </c>
      <c r="J7" s="170">
        <f t="shared" si="0"/>
        <v>2.3142857142857145</v>
      </c>
      <c r="K7" s="170">
        <f t="shared" si="1"/>
        <v>2.4</v>
      </c>
      <c r="L7" s="171">
        <f t="shared" si="2"/>
        <v>2.5</v>
      </c>
    </row>
    <row r="8" spans="1:12" ht="18" thickTop="1" thickBot="1">
      <c r="A8" s="154" t="s">
        <v>140</v>
      </c>
      <c r="B8" s="153" t="s">
        <v>149</v>
      </c>
      <c r="C8" s="153" t="s">
        <v>150</v>
      </c>
      <c r="D8" s="166">
        <v>20</v>
      </c>
      <c r="E8" s="167">
        <f t="shared" si="3"/>
        <v>3.8571428571428568</v>
      </c>
      <c r="F8" s="167">
        <f t="shared" si="4"/>
        <v>4</v>
      </c>
      <c r="G8" s="168"/>
      <c r="H8" s="169">
        <f t="shared" si="5"/>
        <v>1</v>
      </c>
      <c r="I8" s="169">
        <f t="shared" si="6"/>
        <v>1</v>
      </c>
      <c r="J8" s="170">
        <f t="shared" si="0"/>
        <v>2.1428571428571428</v>
      </c>
      <c r="K8" s="170">
        <f t="shared" si="1"/>
        <v>2.2000000000000002</v>
      </c>
      <c r="L8" s="171">
        <f t="shared" si="2"/>
        <v>2</v>
      </c>
    </row>
    <row r="9" spans="1:12" ht="18" thickTop="1" thickBot="1">
      <c r="A9" s="154" t="s">
        <v>140</v>
      </c>
      <c r="B9" s="153" t="s">
        <v>151</v>
      </c>
      <c r="C9" s="153" t="s">
        <v>152</v>
      </c>
      <c r="D9" s="166">
        <v>24</v>
      </c>
      <c r="E9" s="167">
        <f t="shared" si="3"/>
        <v>4.4285714285714288</v>
      </c>
      <c r="F9" s="167">
        <f t="shared" si="4"/>
        <v>4.5</v>
      </c>
      <c r="G9" s="168"/>
      <c r="H9" s="169">
        <f t="shared" si="5"/>
        <v>1</v>
      </c>
      <c r="I9" s="169">
        <f t="shared" si="6"/>
        <v>1</v>
      </c>
      <c r="J9" s="170">
        <f t="shared" si="0"/>
        <v>2.3714285714285714</v>
      </c>
      <c r="K9" s="170">
        <f t="shared" si="1"/>
        <v>2.4</v>
      </c>
      <c r="L9" s="171">
        <f t="shared" si="2"/>
        <v>2.5</v>
      </c>
    </row>
    <row r="10" spans="1:12" ht="18" thickTop="1" thickBot="1">
      <c r="A10" s="154" t="s">
        <v>140</v>
      </c>
      <c r="B10" s="153" t="s">
        <v>153</v>
      </c>
      <c r="C10" s="153" t="s">
        <v>154</v>
      </c>
      <c r="D10" s="194">
        <v>26</v>
      </c>
      <c r="E10" s="195">
        <f t="shared" si="3"/>
        <v>4.7142857142857144</v>
      </c>
      <c r="F10" s="195">
        <f t="shared" si="4"/>
        <v>4.5</v>
      </c>
      <c r="G10" s="168"/>
      <c r="H10" s="169">
        <f t="shared" si="5"/>
        <v>1</v>
      </c>
      <c r="I10" s="169">
        <f t="shared" si="6"/>
        <v>1</v>
      </c>
      <c r="J10" s="170">
        <f t="shared" si="0"/>
        <v>2.4857142857142858</v>
      </c>
      <c r="K10" s="170">
        <f t="shared" si="1"/>
        <v>2.4</v>
      </c>
      <c r="L10" s="171">
        <f t="shared" si="2"/>
        <v>2.5</v>
      </c>
    </row>
    <row r="11" spans="1:12" ht="18" thickTop="1" thickBot="1">
      <c r="A11" s="154" t="s">
        <v>140</v>
      </c>
      <c r="B11" s="153" t="s">
        <v>155</v>
      </c>
      <c r="C11" s="153" t="s">
        <v>146</v>
      </c>
      <c r="D11" s="166">
        <v>26</v>
      </c>
      <c r="E11" s="167">
        <f t="shared" si="3"/>
        <v>4.7142857142857144</v>
      </c>
      <c r="F11" s="167">
        <f t="shared" si="4"/>
        <v>4.5</v>
      </c>
      <c r="G11" s="168"/>
      <c r="H11" s="169">
        <f t="shared" si="5"/>
        <v>1</v>
      </c>
      <c r="I11" s="169">
        <f t="shared" si="6"/>
        <v>1</v>
      </c>
      <c r="J11" s="170">
        <f t="shared" si="0"/>
        <v>2.4857142857142858</v>
      </c>
      <c r="K11" s="170">
        <f t="shared" si="1"/>
        <v>2.4</v>
      </c>
      <c r="L11" s="171">
        <f t="shared" si="2"/>
        <v>2.5</v>
      </c>
    </row>
    <row r="12" spans="1:12" ht="18" thickTop="1" thickBot="1">
      <c r="A12" s="154" t="s">
        <v>140</v>
      </c>
      <c r="B12" s="153" t="s">
        <v>156</v>
      </c>
      <c r="C12" s="153" t="s">
        <v>157</v>
      </c>
      <c r="D12" s="166">
        <v>25</v>
      </c>
      <c r="E12" s="167">
        <f t="shared" si="3"/>
        <v>4.5714285714285712</v>
      </c>
      <c r="F12" s="167">
        <f t="shared" si="4"/>
        <v>4.5</v>
      </c>
      <c r="G12" s="168"/>
      <c r="H12" s="169">
        <f t="shared" si="5"/>
        <v>1</v>
      </c>
      <c r="I12" s="169">
        <f t="shared" si="6"/>
        <v>1</v>
      </c>
      <c r="J12" s="170">
        <f t="shared" si="0"/>
        <v>2.4285714285714284</v>
      </c>
      <c r="K12" s="170">
        <f t="shared" si="1"/>
        <v>2.4</v>
      </c>
      <c r="L12" s="171">
        <f t="shared" si="2"/>
        <v>2.5</v>
      </c>
    </row>
    <row r="13" spans="1:12" ht="18" thickTop="1" thickBot="1">
      <c r="A13" s="154" t="s">
        <v>158</v>
      </c>
      <c r="B13" s="153" t="s">
        <v>159</v>
      </c>
      <c r="C13" s="153" t="s">
        <v>144</v>
      </c>
      <c r="D13" s="166">
        <v>30</v>
      </c>
      <c r="E13" s="167">
        <f t="shared" si="3"/>
        <v>5.2857142857142856</v>
      </c>
      <c r="F13" s="167">
        <f t="shared" si="4"/>
        <v>5.5</v>
      </c>
      <c r="G13" s="168"/>
      <c r="H13" s="169">
        <f t="shared" si="5"/>
        <v>1</v>
      </c>
      <c r="I13" s="169">
        <f t="shared" si="6"/>
        <v>1</v>
      </c>
      <c r="J13" s="170">
        <f t="shared" si="0"/>
        <v>2.7142857142857144</v>
      </c>
      <c r="K13" s="170">
        <f t="shared" si="1"/>
        <v>2.8000000000000003</v>
      </c>
      <c r="L13" s="171">
        <f t="shared" si="2"/>
        <v>3</v>
      </c>
    </row>
    <row r="14" spans="1:12" ht="18" thickTop="1" thickBot="1">
      <c r="A14" s="154" t="s">
        <v>158</v>
      </c>
      <c r="B14" s="153" t="s">
        <v>160</v>
      </c>
      <c r="C14" s="153" t="s">
        <v>161</v>
      </c>
      <c r="D14" s="166">
        <v>33</v>
      </c>
      <c r="E14" s="167">
        <f t="shared" si="3"/>
        <v>5.7142857142857144</v>
      </c>
      <c r="F14" s="167">
        <f t="shared" si="4"/>
        <v>5.5</v>
      </c>
      <c r="G14" s="168"/>
      <c r="H14" s="169">
        <f t="shared" si="5"/>
        <v>1</v>
      </c>
      <c r="I14" s="169">
        <f t="shared" si="6"/>
        <v>1</v>
      </c>
      <c r="J14" s="170">
        <f t="shared" si="0"/>
        <v>2.8857142857142861</v>
      </c>
      <c r="K14" s="170">
        <f t="shared" si="1"/>
        <v>2.8000000000000003</v>
      </c>
      <c r="L14" s="171">
        <f t="shared" si="2"/>
        <v>3</v>
      </c>
    </row>
    <row r="15" spans="1:12" ht="18" thickTop="1" thickBot="1">
      <c r="A15" s="154" t="s">
        <v>158</v>
      </c>
      <c r="B15" s="153" t="s">
        <v>162</v>
      </c>
      <c r="C15" s="153" t="s">
        <v>163</v>
      </c>
      <c r="D15" s="166">
        <v>33</v>
      </c>
      <c r="E15" s="167">
        <f t="shared" si="3"/>
        <v>5.7142857142857144</v>
      </c>
      <c r="F15" s="167">
        <f t="shared" si="4"/>
        <v>5.5</v>
      </c>
      <c r="G15" s="168"/>
      <c r="H15" s="169">
        <f t="shared" si="5"/>
        <v>1</v>
      </c>
      <c r="I15" s="169">
        <f t="shared" si="6"/>
        <v>1</v>
      </c>
      <c r="J15" s="170">
        <f t="shared" si="0"/>
        <v>2.8857142857142861</v>
      </c>
      <c r="K15" s="170">
        <f t="shared" si="1"/>
        <v>2.8000000000000003</v>
      </c>
      <c r="L15" s="171">
        <f t="shared" si="2"/>
        <v>3</v>
      </c>
    </row>
    <row r="16" spans="1:12" ht="18" thickTop="1" thickBot="1">
      <c r="A16" s="154" t="s">
        <v>158</v>
      </c>
      <c r="B16" s="153" t="s">
        <v>164</v>
      </c>
      <c r="C16" s="153" t="s">
        <v>165</v>
      </c>
      <c r="D16" s="166">
        <v>33</v>
      </c>
      <c r="E16" s="167">
        <f t="shared" si="3"/>
        <v>5.7142857142857144</v>
      </c>
      <c r="F16" s="167">
        <f t="shared" si="4"/>
        <v>5.5</v>
      </c>
      <c r="G16" s="168"/>
      <c r="H16" s="169">
        <f t="shared" si="5"/>
        <v>1</v>
      </c>
      <c r="I16" s="169">
        <f t="shared" si="6"/>
        <v>1</v>
      </c>
      <c r="J16" s="170">
        <f t="shared" si="0"/>
        <v>2.8857142857142861</v>
      </c>
      <c r="K16" s="170">
        <f t="shared" si="1"/>
        <v>2.8000000000000003</v>
      </c>
      <c r="L16" s="171">
        <f t="shared" si="2"/>
        <v>3</v>
      </c>
    </row>
    <row r="17" spans="1:12" ht="18" thickTop="1" thickBot="1">
      <c r="A17" s="154" t="s">
        <v>158</v>
      </c>
      <c r="B17" s="153" t="s">
        <v>166</v>
      </c>
      <c r="C17" s="153" t="s">
        <v>167</v>
      </c>
      <c r="D17" s="166">
        <v>22</v>
      </c>
      <c r="E17" s="167">
        <f t="shared" si="3"/>
        <v>4.1428571428571423</v>
      </c>
      <c r="F17" s="167">
        <f t="shared" si="4"/>
        <v>4</v>
      </c>
      <c r="G17" s="168"/>
      <c r="H17" s="169">
        <f t="shared" si="5"/>
        <v>1</v>
      </c>
      <c r="I17" s="169">
        <f t="shared" si="6"/>
        <v>1</v>
      </c>
      <c r="J17" s="170">
        <f t="shared" si="0"/>
        <v>2.2571428571428571</v>
      </c>
      <c r="K17" s="170">
        <f t="shared" si="1"/>
        <v>2.2000000000000002</v>
      </c>
      <c r="L17" s="171">
        <f t="shared" si="2"/>
        <v>2</v>
      </c>
    </row>
    <row r="18" spans="1:12" ht="18" thickTop="1" thickBot="1">
      <c r="A18" s="154" t="s">
        <v>158</v>
      </c>
      <c r="B18" s="153" t="s">
        <v>168</v>
      </c>
      <c r="C18" s="153" t="s">
        <v>169</v>
      </c>
      <c r="D18" s="166">
        <v>33</v>
      </c>
      <c r="E18" s="167">
        <f t="shared" ref="E18" si="7">D18/$F$1*5+1</f>
        <v>5.7142857142857144</v>
      </c>
      <c r="F18" s="167">
        <f t="shared" ref="F18" si="8">MROUND(E18,0.5)</f>
        <v>5.5</v>
      </c>
      <c r="G18" s="168"/>
      <c r="H18" s="169">
        <f t="shared" ref="H18" si="9">G18/$I$1*5+1</f>
        <v>1</v>
      </c>
      <c r="I18" s="169">
        <f t="shared" ref="I18" si="10">MROUND(H18,0.5)</f>
        <v>1</v>
      </c>
      <c r="J18" s="170">
        <f t="shared" ref="J18" si="11">SUM(E18*$E$1,H18*$H$1)</f>
        <v>2.8857142857142861</v>
      </c>
      <c r="K18" s="170">
        <f t="shared" ref="K18" si="12">SUM(F18*$E$1,I18*$H$1)</f>
        <v>2.8000000000000003</v>
      </c>
      <c r="L18" s="171">
        <f t="shared" si="2"/>
        <v>3</v>
      </c>
    </row>
    <row r="19" spans="1:12" ht="17.25" thickTop="1">
      <c r="D19" s="172"/>
      <c r="E19" s="172">
        <f>AVERAGE(E4:E18)</f>
        <v>4.8761904761904757</v>
      </c>
      <c r="F19" s="172">
        <f>AVERAGE(F4:F18)</f>
        <v>4.8</v>
      </c>
      <c r="G19" s="173"/>
      <c r="H19" s="173">
        <f>AVERAGE(H4:H18)</f>
        <v>1</v>
      </c>
      <c r="I19" s="173">
        <f>AVERAGE(I4:I18)</f>
        <v>1</v>
      </c>
      <c r="J19" s="174"/>
      <c r="K19" s="174"/>
      <c r="L19" s="175">
        <f>AVERAGE(L4:L18)</f>
        <v>2.6</v>
      </c>
    </row>
    <row r="21" spans="1:12">
      <c r="A21" s="176"/>
      <c r="B21" s="176"/>
      <c r="C21" s="177"/>
      <c r="D21" s="178" t="s">
        <v>170</v>
      </c>
      <c r="E21" s="176"/>
      <c r="F21" s="176"/>
      <c r="G21" s="176"/>
      <c r="H21" s="176"/>
      <c r="I21" s="176"/>
      <c r="J21" s="176"/>
      <c r="K21" s="176"/>
      <c r="L21" s="176"/>
    </row>
  </sheetData>
  <mergeCells count="1">
    <mergeCell ref="J1:L1"/>
  </mergeCell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1ABD9BFFC9E543439C53A2705AE306EF" ma:contentTypeVersion="19" ma:contentTypeDescription="Crée un document." ma:contentTypeScope="" ma:versionID="f3418dd4ca302601ba73fa17965a3f21">
  <xsd:schema xmlns:xsd="http://www.w3.org/2001/XMLSchema" xmlns:xs="http://www.w3.org/2001/XMLSchema" xmlns:p="http://schemas.microsoft.com/office/2006/metadata/properties" xmlns:ns2="bf2f2df3-a963-4452-b0e7-67dabc627c35" xmlns:ns3="http://schemas.microsoft.com/sharepoint/v4" xmlns:ns4="f7d9f5a6-831d-4621-8c77-cbcaf993e406" targetNamespace="http://schemas.microsoft.com/office/2006/metadata/properties" ma:root="true" ma:fieldsID="5d82fd028d299635ce1df2d808d1b2ae" ns2:_="" ns3:_="" ns4:_="">
    <xsd:import namespace="bf2f2df3-a963-4452-b0e7-67dabc627c35"/>
    <xsd:import namespace="http://schemas.microsoft.com/sharepoint/v4"/>
    <xsd:import namespace="f7d9f5a6-831d-4621-8c77-cbcaf993e40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3:IconOverlay" minOccurs="0"/>
                <xsd:element ref="ns4:SharedWithUsers" minOccurs="0"/>
                <xsd:element ref="ns4:SharedWithDetails" minOccurs="0"/>
                <xsd:element ref="ns2:lcf76f155ced4ddcb4097134ff3c332f" minOccurs="0"/>
                <xsd:element ref="ns4:TaxCatchAll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f2f2df3-a963-4452-b0e7-67dabc627c3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7" nillable="true" ma:displayName="Length (seconds)" ma:internalName="MediaLengthInSeconds" ma:readOnly="true">
      <xsd:simpleType>
        <xsd:restriction base="dms:Unknown"/>
      </xsd:simpleType>
    </xsd:element>
    <xsd:element name="MediaServiceLocation" ma:index="18" nillable="true" ma:displayName="Location" ma:internalName="MediaServiceLocation" ma:readOnly="true">
      <xsd:simpleType>
        <xsd:restriction base="dms:Text"/>
      </xsd:simpleType>
    </xsd:element>
    <xsd:element name="lcf76f155ced4ddcb4097134ff3c332f" ma:index="23" nillable="true" ma:taxonomy="true" ma:internalName="lcf76f155ced4ddcb4097134ff3c332f" ma:taxonomyFieldName="MediaServiceImageTags" ma:displayName="Balises d’images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5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6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4" elementFormDefault="qualified">
    <xsd:import namespace="http://schemas.microsoft.com/office/2006/documentManagement/types"/>
    <xsd:import namespace="http://schemas.microsoft.com/office/infopath/2007/PartnerControls"/>
    <xsd:element name="IconOverlay" ma:index="19" nillable="true" ma:displayName="IconOverlay" ma:hidden="true" ma:internalName="IconOverlay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7d9f5a6-831d-4621-8c77-cbcaf993e406" elementFormDefault="qualified">
    <xsd:import namespace="http://schemas.microsoft.com/office/2006/documentManagement/types"/>
    <xsd:import namespace="http://schemas.microsoft.com/office/infopath/2007/PartnerControls"/>
    <xsd:element name="SharedWithUsers" ma:index="20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1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4" nillable="true" ma:displayName="Taxonomy Catch All Column" ma:hidden="true" ma:list="{dfc80727-18a8-4b0a-8429-fccc43b630d6}" ma:internalName="TaxCatchAll" ma:showField="CatchAllData" ma:web="f7d9f5a6-831d-4621-8c77-cbcaf993e40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IconOverlay xmlns="http://schemas.microsoft.com/sharepoint/v4" xsi:nil="true"/>
    <lcf76f155ced4ddcb4097134ff3c332f xmlns="bf2f2df3-a963-4452-b0e7-67dabc627c35">
      <Terms xmlns="http://schemas.microsoft.com/office/infopath/2007/PartnerControls"/>
    </lcf76f155ced4ddcb4097134ff3c332f>
    <TaxCatchAll xmlns="f7d9f5a6-831d-4621-8c77-cbcaf993e406" xsi:nil="true"/>
  </documentManagement>
</p:properties>
</file>

<file path=customXml/itemProps1.xml><?xml version="1.0" encoding="utf-8"?>
<ds:datastoreItem xmlns:ds="http://schemas.openxmlformats.org/officeDocument/2006/customXml" ds:itemID="{67BB19A2-E6AC-44B1-B325-CD3AE96DDCB2}"/>
</file>

<file path=customXml/itemProps2.xml><?xml version="1.0" encoding="utf-8"?>
<ds:datastoreItem xmlns:ds="http://schemas.openxmlformats.org/officeDocument/2006/customXml" ds:itemID="{893EC2A1-D66C-4033-B34C-8AF1D42BCA87}"/>
</file>

<file path=customXml/itemProps3.xml><?xml version="1.0" encoding="utf-8"?>
<ds:datastoreItem xmlns:ds="http://schemas.openxmlformats.org/officeDocument/2006/customXml" ds:itemID="{7D15E931-79FB-406B-93A5-C9F6867E657F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GGZ</dc:creator>
  <cp:keywords/>
  <dc:description/>
  <cp:lastModifiedBy>Anass Benfares</cp:lastModifiedBy>
  <cp:revision/>
  <dcterms:created xsi:type="dcterms:W3CDTF">1996-10-21T11:03:58Z</dcterms:created>
  <dcterms:modified xsi:type="dcterms:W3CDTF">2025-01-12T22:16:00Z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0x0101001ABD9BFFC9E543439C53A2705AE306EF</vt:lpwstr>
  </property>
  <property fmtid="{D5CDD505-2E9C-101B-9397-08002B2CF9AE}" pid="3" name="MediaServiceImageTags">
    <vt:lpwstr/>
  </property>
</Properties>
</file>